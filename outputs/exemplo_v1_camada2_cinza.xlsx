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Resumo por Agrupador" sheetId="2" state="visible" r:id="rId2"/>
    <sheet name="Mapa de Conciliação" sheetId="3" state="visible" r:id="rId3"/>
    <sheet name="Análise Analítica" sheetId="4" state="visible" r:id="rId4"/>
    <sheet name="Ponte de Conciliação" sheetId="5" state="visible" r:id="rId5"/>
    <sheet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R$ #,##0.00;[Red](R$ #,##0.00);-"/>
    <numFmt numFmtId="166" formatCode="0.00%;[Red]-0.00%;-"/>
  </numFmts>
  <fonts count="13">
    <font>
      <name val="Calibri"/>
      <family val="2"/>
      <color theme="1"/>
      <sz val="11"/>
      <scheme val="minor"/>
    </font>
    <font>
      <name val="Calibri"/>
      <b val="1"/>
      <color rgb="00595959"/>
      <sz val="14"/>
    </font>
    <font>
      <name val="Calibri"/>
      <i val="1"/>
      <color rgb="001A1A1A"/>
      <sz val="11"/>
    </font>
    <font>
      <name val="Calibri"/>
      <b val="1"/>
      <color rgb="00FFFFFF"/>
      <sz val="12"/>
    </font>
    <font>
      <name val="Calibri"/>
      <color rgb="001A1A1A"/>
      <sz val="9"/>
    </font>
    <font>
      <name val="Calibri"/>
      <b val="1"/>
      <color rgb="00595959"/>
      <sz val="16"/>
    </font>
    <font>
      <name val="Calibri"/>
      <i val="1"/>
      <color rgb="001A1A1A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2F2F2F"/>
      <sz val="12"/>
    </font>
    <font>
      <name val="Calibri"/>
      <b val="1"/>
      <color rgb="002F2F2F"/>
      <sz val="11"/>
    </font>
    <font>
      <name val="Calibri"/>
      <b val="1"/>
      <color rgb="002F2F2F"/>
    </font>
  </fonts>
  <fills count="5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indent="1"/>
    </xf>
    <xf numFmtId="0" fontId="0" fillId="2" borderId="1" pivotButton="0" quotePrefix="0" xfId="0"/>
    <xf numFmtId="0" fontId="8" fillId="3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right" vertical="center" wrapText="1" indent="1"/>
    </xf>
    <xf numFmtId="0" fontId="0" fillId="3" borderId="1" pivotButton="0" quotePrefix="0" xfId="0"/>
    <xf numFmtId="0" fontId="8" fillId="4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right" vertical="center" wrapText="1" indent="1"/>
    </xf>
    <xf numFmtId="0" fontId="0" fillId="4" borderId="1" pivotButton="0" quotePrefix="0" xfId="0"/>
    <xf numFmtId="0" fontId="9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 indent="1"/>
    </xf>
    <xf numFmtId="0" fontId="0" fillId="3" borderId="1" applyAlignment="1" pivotButton="0" quotePrefix="0" xfId="0">
      <alignment horizontal="left" vertical="center" indent="1"/>
    </xf>
    <xf numFmtId="164" fontId="0" fillId="3" borderId="1" applyAlignment="1" pivotButton="0" quotePrefix="0" xfId="0">
      <alignment horizontal="right" vertical="center" indent="1"/>
    </xf>
    <xf numFmtId="165" fontId="0" fillId="3" borderId="1" applyAlignment="1" pivotButton="0" quotePrefix="0" xfId="0">
      <alignment horizontal="right" vertical="center" indent="1"/>
    </xf>
    <xf numFmtId="0" fontId="0" fillId="4" borderId="1" applyAlignment="1" pivotButton="0" quotePrefix="0" xfId="0">
      <alignment horizontal="left" vertical="center" indent="1"/>
    </xf>
    <xf numFmtId="164" fontId="0" fillId="4" borderId="1" applyAlignment="1" pivotButton="0" quotePrefix="0" xfId="0">
      <alignment horizontal="right" vertical="center" indent="1"/>
    </xf>
    <xf numFmtId="165" fontId="0" fillId="4" borderId="1" applyAlignment="1" pivotButton="0" quotePrefix="0" xfId="0">
      <alignment horizontal="right" vertical="center" indent="1"/>
    </xf>
    <xf numFmtId="166" fontId="0" fillId="3" borderId="1" applyAlignment="1" pivotButton="0" quotePrefix="0" xfId="0">
      <alignment horizontal="right" vertical="center" indent="1"/>
    </xf>
    <xf numFmtId="166" fontId="0" fillId="4" borderId="1" applyAlignment="1" pivotButton="0" quotePrefix="0" xfId="0">
      <alignment horizontal="right" vertical="center" indent="1"/>
    </xf>
    <xf numFmtId="0" fontId="8" fillId="3" borderId="1" applyAlignment="1" pivotButton="0" quotePrefix="0" xfId="0">
      <alignment horizontal="left" vertical="center" indent="1"/>
    </xf>
    <xf numFmtId="165" fontId="8" fillId="3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left" vertical="center" indent="1"/>
    </xf>
    <xf numFmtId="165" fontId="8" fillId="4" borderId="1" applyAlignment="1" pivotButton="0" quotePrefix="0" xfId="0">
      <alignment horizontal="right" vertical="center" indent="1"/>
    </xf>
    <xf numFmtId="165" fontId="9" fillId="4" borderId="1" applyAlignment="1" pivotButton="0" quotePrefix="0" xfId="0">
      <alignment horizontal="right" vertical="center" indent="1"/>
    </xf>
    <xf numFmtId="165" fontId="9" fillId="3" borderId="1" applyAlignment="1" pivotButton="0" quotePrefix="0" xfId="0">
      <alignment horizontal="right" vertical="center" indent="1"/>
    </xf>
    <xf numFmtId="0" fontId="11" fillId="0" borderId="0" applyAlignment="1" pivotButton="0" quotePrefix="0" xfId="0">
      <alignment horizontal="left" vertical="center" indent="1"/>
    </xf>
    <xf numFmtId="165" fontId="12" fillId="0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8" customWidth="1" min="3" max="3"/>
    <col width="19" customWidth="1" min="4" max="4"/>
    <col width="15" customWidth="1" min="5" max="5"/>
    <col width="22" customWidth="1" min="6" max="6"/>
    <col width="14" customWidth="1" min="7" max="7"/>
    <col width="14" customWidth="1" min="8" max="8"/>
  </cols>
  <sheetData>
    <row r="1" ht="28" customHeight="1">
      <c r="A1" s="1" t="inlineStr">
        <is>
          <t>Conciliação de Bases · Razão × Balancete</t>
        </is>
      </c>
    </row>
    <row r="2">
      <c r="A2" s="2" t="inlineStr">
        <is>
          <t>Gerado em 26/04/2026 às 20:25 · Arquivo: base_fundacao.xlsx · Origem: dual_origem_crm · Comparado: dual_comparado_erp</t>
        </is>
      </c>
    </row>
    <row r="3"/>
    <row r="4" ht="22" customHeight="1">
      <c r="A4" s="3" t="inlineStr">
        <is>
          <t>Taxa de Conciliação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Taxa de Conciliação Geral</t>
        </is>
      </c>
    </row>
    <row r="6">
      <c r="A6" s="6" t="inlineStr">
        <is>
          <t>-</t>
        </is>
      </c>
    </row>
    <row r="7"/>
    <row r="8">
      <c r="A8" s="7" t="inlineStr">
        <is>
          <t>0 de 134 registros conciliados</t>
        </is>
      </c>
    </row>
    <row r="9"/>
    <row r="10">
      <c r="A10" s="8" t="inlineStr">
        <is>
          <t>Classificação</t>
        </is>
      </c>
      <c r="B10" s="9" t="inlineStr">
        <is>
          <t>N registros</t>
        </is>
      </c>
      <c r="C10" s="9" t="inlineStr">
        <is>
          <t>% do total</t>
        </is>
      </c>
      <c r="D10" s="10" t="inlineStr"/>
      <c r="E10" s="10" t="inlineStr"/>
      <c r="F10" s="10" t="inlineStr"/>
      <c r="G10" s="10" t="inlineStr"/>
      <c r="H10" s="10" t="inlineStr"/>
    </row>
    <row r="11">
      <c r="A11" s="11" t="inlineStr">
        <is>
          <t>Conciliado</t>
        </is>
      </c>
      <c r="B11" s="12" t="inlineStr">
        <is>
          <t>0</t>
        </is>
      </c>
      <c r="C11" s="12" t="inlineStr">
        <is>
          <t>-</t>
        </is>
      </c>
      <c r="D11" s="13" t="inlineStr"/>
      <c r="E11" s="13" t="inlineStr"/>
      <c r="F11" s="13" t="inlineStr"/>
      <c r="G11" s="13" t="inlineStr"/>
      <c r="H11" s="13" t="inlineStr"/>
    </row>
    <row r="12">
      <c r="A12" s="14" t="inlineStr">
        <is>
          <t>Divergente por valor</t>
        </is>
      </c>
      <c r="B12" s="15" t="inlineStr">
        <is>
          <t>10</t>
        </is>
      </c>
      <c r="C12" s="15" t="inlineStr">
        <is>
          <t>7,46%</t>
        </is>
      </c>
      <c r="D12" s="16" t="inlineStr"/>
      <c r="E12" s="16" t="inlineStr"/>
      <c r="F12" s="16" t="inlineStr"/>
      <c r="G12" s="16" t="inlineStr"/>
      <c r="H12" s="16" t="inlineStr"/>
    </row>
    <row r="13">
      <c r="A13" s="11" t="inlineStr">
        <is>
          <t>Saiu do Razão</t>
        </is>
      </c>
      <c r="B13" s="12" t="inlineStr">
        <is>
          <t>36</t>
        </is>
      </c>
      <c r="C13" s="12" t="inlineStr">
        <is>
          <t>26,87%</t>
        </is>
      </c>
      <c r="D13" s="13" t="inlineStr"/>
      <c r="E13" s="13" t="inlineStr"/>
      <c r="F13" s="13" t="inlineStr"/>
      <c r="G13" s="13" t="inlineStr"/>
      <c r="H13" s="13" t="inlineStr"/>
    </row>
    <row r="14">
      <c r="A14" s="14" t="inlineStr">
        <is>
          <t>Apareceu no Balancete</t>
        </is>
      </c>
      <c r="B14" s="15" t="inlineStr">
        <is>
          <t>44</t>
        </is>
      </c>
      <c r="C14" s="15" t="inlineStr">
        <is>
          <t>32,84%</t>
        </is>
      </c>
      <c r="D14" s="16" t="inlineStr"/>
      <c r="E14" s="16" t="inlineStr"/>
      <c r="F14" s="16" t="inlineStr"/>
      <c r="G14" s="16" t="inlineStr"/>
      <c r="H14" s="16" t="inlineStr"/>
    </row>
    <row r="15">
      <c r="A15" s="11" t="inlineStr">
        <is>
          <t>Divergência por duplicidade</t>
        </is>
      </c>
      <c r="B15" s="12" t="inlineStr">
        <is>
          <t>44</t>
        </is>
      </c>
      <c r="C15" s="12" t="inlineStr">
        <is>
          <t>32,84%</t>
        </is>
      </c>
      <c r="D15" s="13" t="inlineStr"/>
      <c r="E15" s="13" t="inlineStr"/>
      <c r="F15" s="13" t="inlineStr"/>
      <c r="G15" s="13" t="inlineStr"/>
      <c r="H15" s="13" t="inlineStr"/>
    </row>
    <row r="16">
      <c r="A16" s="14" t="inlineStr">
        <is>
          <t>Divergência por ambiguidade de match</t>
        </is>
      </c>
      <c r="B16" s="15" t="inlineStr">
        <is>
          <t>0</t>
        </is>
      </c>
      <c r="C16" s="15" t="inlineStr">
        <is>
          <t>-</t>
        </is>
      </c>
      <c r="D16" s="16" t="inlineStr"/>
      <c r="E16" s="16" t="inlineStr"/>
      <c r="F16" s="16" t="inlineStr"/>
      <c r="G16" s="16" t="inlineStr"/>
      <c r="H16" s="16" t="inlineStr"/>
    </row>
    <row r="17">
      <c r="A17" s="11" t="inlineStr">
        <is>
          <t>Total processado</t>
        </is>
      </c>
      <c r="B17" s="12" t="inlineStr">
        <is>
          <t>134</t>
        </is>
      </c>
      <c r="C17" s="12" t="inlineStr">
        <is>
          <t>100,00%</t>
        </is>
      </c>
      <c r="D17" s="13" t="inlineStr"/>
      <c r="E17" s="13" t="inlineStr"/>
      <c r="F17" s="13" t="inlineStr"/>
      <c r="G17" s="13" t="inlineStr"/>
      <c r="H17" s="13" t="inlineStr"/>
    </row>
    <row r="18" ht="8" customHeight="1"/>
    <row r="19" ht="22" customHeight="1">
      <c r="A19" s="3" t="inlineStr">
        <is>
          <t>Volumetria</t>
        </is>
      </c>
      <c r="B19" s="4" t="n"/>
      <c r="C19" s="4" t="n"/>
      <c r="D19" s="4" t="n"/>
      <c r="E19" s="4" t="n"/>
      <c r="F19" s="4" t="n"/>
      <c r="G19" s="4" t="n"/>
      <c r="H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7" t="inlineStr">
        <is>
          <t>Registros · Razão</t>
        </is>
      </c>
      <c r="B21" s="11" t="inlineStr">
        <is>
          <t>110</t>
        </is>
      </c>
      <c r="C21" s="13" t="n"/>
      <c r="D21" s="13" t="n"/>
      <c r="E21" s="13" t="n"/>
      <c r="F21" s="13" t="n"/>
      <c r="G21" s="13" t="n"/>
      <c r="H21" s="13" t="n"/>
    </row>
    <row r="22">
      <c r="A22" s="18" t="inlineStr">
        <is>
          <t>Registros · Balancete</t>
        </is>
      </c>
      <c r="B22" s="14" t="inlineStr">
        <is>
          <t>105</t>
        </is>
      </c>
      <c r="C22" s="16" t="n"/>
      <c r="D22" s="16" t="n"/>
      <c r="E22" s="16" t="n"/>
      <c r="F22" s="16" t="n"/>
      <c r="G22" s="16" t="n"/>
      <c r="H22" s="16" t="n"/>
    </row>
    <row r="23">
      <c r="A23" s="17" t="inlineStr">
        <is>
          <t>Processados após match</t>
        </is>
      </c>
      <c r="B23" s="11" t="inlineStr">
        <is>
          <t>205</t>
        </is>
      </c>
      <c r="C23" s="13" t="n"/>
      <c r="D23" s="13" t="n"/>
      <c r="E23" s="13" t="n"/>
      <c r="F23" s="13" t="n"/>
      <c r="G23" s="13" t="n"/>
      <c r="H23" s="13" t="n"/>
    </row>
    <row r="24" ht="8" customHeight="1"/>
    <row r="25" ht="22" customHeight="1">
      <c r="A25" s="3" t="inlineStr">
        <is>
          <t>Status da Ponte</t>
        </is>
      </c>
      <c r="B25" s="4" t="n"/>
      <c r="C25" s="4" t="n"/>
      <c r="D25" s="4" t="n"/>
      <c r="E25" s="4" t="n"/>
      <c r="F25" s="4" t="n"/>
      <c r="G25" s="4" t="n"/>
      <c r="H25" s="4" t="n"/>
    </row>
    <row r="26" ht="28" customHeight="1">
      <c r="A26" s="19" t="inlineStr">
        <is>
          <t>✅ Ponte fecha em todos os campos comparados</t>
        </is>
      </c>
    </row>
    <row r="27"/>
    <row r="28" ht="22" customHeight="1">
      <c r="A28" s="3" t="inlineStr">
        <is>
          <t>Valor por campo comparado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8" t="inlineStr">
        <is>
          <t>Campo</t>
        </is>
      </c>
      <c r="B29" s="9" t="inlineStr">
        <is>
          <t>Soma · Razão</t>
        </is>
      </c>
      <c r="C29" s="9" t="inlineStr">
        <is>
          <t>Soma · Balancete</t>
        </is>
      </c>
      <c r="D29" s="9" t="inlineStr">
        <is>
          <t>Diferença líquida</t>
        </is>
      </c>
      <c r="E29" s="9" t="inlineStr">
        <is>
          <t>Σ |Diferença|</t>
        </is>
      </c>
      <c r="F29" s="9" t="inlineStr">
        <is>
          <t>Tolerância absorvida</t>
        </is>
      </c>
      <c r="G29" s="10" t="inlineStr"/>
      <c r="H29" s="10" t="inlineStr"/>
    </row>
    <row r="30">
      <c r="A30" s="11" t="inlineStr">
        <is>
          <t>Valor</t>
        </is>
      </c>
      <c r="B30" s="12" t="inlineStr">
        <is>
          <t>R$ 139.521,24</t>
        </is>
      </c>
      <c r="C30" s="12" t="inlineStr">
        <is>
          <t>R$ 246.103,77</t>
        </is>
      </c>
      <c r="D30" s="12" t="inlineStr">
        <is>
          <t>-R$ 106.582,53</t>
        </is>
      </c>
      <c r="E30" s="12" t="inlineStr">
        <is>
          <t>R$ 28.983,81</t>
        </is>
      </c>
      <c r="F30" s="12" t="inlineStr">
        <is>
          <t>—</t>
        </is>
      </c>
      <c r="G30" s="13" t="inlineStr"/>
      <c r="H30" s="13" t="inlineStr"/>
    </row>
    <row r="31" ht="8" customHeight="1"/>
    <row r="32" ht="22" customHeight="1">
      <c r="A32" s="3" t="inlineStr">
        <is>
          <t>Cobertura por base</t>
        </is>
      </c>
      <c r="B32" s="4" t="n"/>
      <c r="C32" s="4" t="n"/>
      <c r="D32" s="4" t="n"/>
      <c r="E32" s="4" t="n"/>
      <c r="F32" s="4" t="n"/>
      <c r="G32" s="4" t="n"/>
      <c r="H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17" t="inlineStr">
        <is>
          <t>Cobertura · Razão</t>
        </is>
      </c>
      <c r="B34" s="11" t="inlineStr">
        <is>
          <t>74 de 110 (67.27%)</t>
        </is>
      </c>
      <c r="C34" s="13" t="n"/>
      <c r="D34" s="13" t="n"/>
      <c r="E34" s="13" t="n"/>
      <c r="F34" s="13" t="n"/>
      <c r="G34" s="13" t="n"/>
      <c r="H34" s="13" t="n"/>
    </row>
    <row r="35">
      <c r="A35" s="18" t="inlineStr">
        <is>
          <t>Cobertura · Balancete</t>
        </is>
      </c>
      <c r="B35" s="14" t="inlineStr">
        <is>
          <t>61 de 105 (58.10%)</t>
        </is>
      </c>
      <c r="C35" s="16" t="n"/>
      <c r="D35" s="16" t="n"/>
      <c r="E35" s="16" t="n"/>
      <c r="F35" s="16" t="n"/>
      <c r="G35" s="16" t="n"/>
      <c r="H35" s="16" t="n"/>
    </row>
    <row r="36" ht="8" customHeight="1"/>
    <row r="37" ht="22" customHeight="1">
      <c r="A37" s="3" t="inlineStr">
        <is>
          <t>Resumo por Centro_Custo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8" t="inlineStr">
        <is>
          <t>Centro_Custo</t>
        </is>
      </c>
      <c r="B38" s="9" t="inlineStr">
        <is>
          <t>N Conciliados</t>
        </is>
      </c>
      <c r="C38" s="9" t="inlineStr">
        <is>
          <t>N Divergentes</t>
        </is>
      </c>
      <c r="D38" s="9" t="inlineStr">
        <is>
          <t>Diferença líquida</t>
        </is>
      </c>
      <c r="E38" s="10" t="inlineStr"/>
      <c r="F38" s="10" t="inlineStr"/>
      <c r="G38" s="10" t="inlineStr"/>
      <c r="H38" s="10" t="inlineStr"/>
    </row>
    <row r="39">
      <c r="A39" s="11" t="inlineStr">
        <is>
          <t>Centro_Custo=OPERACOES</t>
        </is>
      </c>
      <c r="B39" s="12" t="inlineStr">
        <is>
          <t>0</t>
        </is>
      </c>
      <c r="C39" s="12" t="inlineStr">
        <is>
          <t>2</t>
        </is>
      </c>
      <c r="D39" s="12" t="inlineStr">
        <is>
          <t>-R$ 86.500,89</t>
        </is>
      </c>
      <c r="E39" s="13" t="inlineStr"/>
      <c r="F39" s="13" t="inlineStr"/>
      <c r="G39" s="13" t="inlineStr"/>
      <c r="H39" s="13" t="inlineStr"/>
    </row>
    <row r="40">
      <c r="A40" s="14" t="inlineStr">
        <is>
          <t>Centro_Custo=ADM</t>
        </is>
      </c>
      <c r="B40" s="15" t="inlineStr">
        <is>
          <t>0</t>
        </is>
      </c>
      <c r="C40" s="15" t="inlineStr">
        <is>
          <t>1</t>
        </is>
      </c>
      <c r="D40" s="15" t="inlineStr">
        <is>
          <t>-R$ 26.209,34</t>
        </is>
      </c>
      <c r="E40" s="16" t="inlineStr"/>
      <c r="F40" s="16" t="inlineStr"/>
      <c r="G40" s="16" t="inlineStr"/>
      <c r="H40" s="16" t="inlineStr"/>
    </row>
    <row r="41">
      <c r="A41" s="11" t="inlineStr">
        <is>
          <t>Centro_Custo=TI</t>
        </is>
      </c>
      <c r="B41" s="12" t="inlineStr">
        <is>
          <t>0</t>
        </is>
      </c>
      <c r="C41" s="12" t="inlineStr">
        <is>
          <t>0</t>
        </is>
      </c>
      <c r="D41" s="12" t="inlineStr">
        <is>
          <t>+R$ 26.166,41</t>
        </is>
      </c>
      <c r="E41" s="13" t="inlineStr"/>
      <c r="F41" s="13" t="inlineStr"/>
      <c r="G41" s="13" t="inlineStr"/>
      <c r="H41" s="13" t="inlineStr"/>
    </row>
    <row r="42">
      <c r="A42" s="14" t="inlineStr">
        <is>
          <t>Centro_Custo=RH</t>
        </is>
      </c>
      <c r="B42" s="15" t="inlineStr">
        <is>
          <t>0</t>
        </is>
      </c>
      <c r="C42" s="15" t="inlineStr">
        <is>
          <t>2</t>
        </is>
      </c>
      <c r="D42" s="15" t="inlineStr">
        <is>
          <t>-R$ 21.461,82</t>
        </is>
      </c>
      <c r="E42" s="16" t="inlineStr"/>
      <c r="F42" s="16" t="inlineStr"/>
      <c r="G42" s="16" t="inlineStr"/>
      <c r="H42" s="16" t="inlineStr"/>
    </row>
    <row r="43">
      <c r="A43" s="11" t="inlineStr">
        <is>
          <t>Centro_Custo=COMERCIAL</t>
        </is>
      </c>
      <c r="B43" s="12" t="inlineStr">
        <is>
          <t>0</t>
        </is>
      </c>
      <c r="C43" s="12" t="inlineStr">
        <is>
          <t>3</t>
        </is>
      </c>
      <c r="D43" s="12" t="inlineStr">
        <is>
          <t>-R$ 9.015,88</t>
        </is>
      </c>
      <c r="E43" s="13" t="inlineStr"/>
      <c r="F43" s="13" t="inlineStr"/>
      <c r="G43" s="13" t="inlineStr"/>
      <c r="H43" s="13" t="inlineStr"/>
    </row>
    <row r="44">
      <c r="A44" s="14" t="inlineStr">
        <is>
          <t>Centro_Custo=FINANCEIRO</t>
        </is>
      </c>
      <c r="B44" s="15" t="inlineStr">
        <is>
          <t>0</t>
        </is>
      </c>
      <c r="C44" s="15" t="inlineStr">
        <is>
          <t>0</t>
        </is>
      </c>
      <c r="D44" s="15" t="inlineStr">
        <is>
          <t>+R$ 8.730,37</t>
        </is>
      </c>
      <c r="E44" s="16" t="inlineStr"/>
      <c r="F44" s="16" t="inlineStr"/>
      <c r="G44" s="16" t="inlineStr"/>
      <c r="H44" s="16" t="inlineStr"/>
    </row>
    <row r="45">
      <c r="A45" s="11" t="inlineStr">
        <is>
          <t>Centro_Custo=LOGISTICA</t>
        </is>
      </c>
      <c r="B45" s="12" t="inlineStr">
        <is>
          <t>0</t>
        </is>
      </c>
      <c r="C45" s="12" t="inlineStr">
        <is>
          <t>1</t>
        </is>
      </c>
      <c r="D45" s="12" t="inlineStr">
        <is>
          <t>+R$ 4.153,52</t>
        </is>
      </c>
      <c r="E45" s="13" t="inlineStr"/>
      <c r="F45" s="13" t="inlineStr"/>
      <c r="G45" s="13" t="inlineStr"/>
      <c r="H45" s="13" t="inlineStr"/>
    </row>
    <row r="46">
      <c r="A46" s="14" t="inlineStr">
        <is>
          <t>Centro_Custo=MARKETING</t>
        </is>
      </c>
      <c r="B46" s="15" t="inlineStr">
        <is>
          <t>0</t>
        </is>
      </c>
      <c r="C46" s="15" t="inlineStr">
        <is>
          <t>1</t>
        </is>
      </c>
      <c r="D46" s="15" t="inlineStr">
        <is>
          <t>-R$ 2.444,90</t>
        </is>
      </c>
      <c r="E46" s="16" t="inlineStr"/>
      <c r="F46" s="16" t="inlineStr"/>
      <c r="G46" s="16" t="inlineStr"/>
      <c r="H46" s="16" t="inlineStr"/>
    </row>
    <row r="47" ht="8" customHeight="1"/>
    <row r="48" ht="22" customHeight="1">
      <c r="A48" s="3" t="inlineStr">
        <is>
          <t>Síntese do Diagnóstico</t>
        </is>
      </c>
      <c r="B48" s="4" t="n"/>
      <c r="C48" s="4" t="n"/>
      <c r="D48" s="4" t="n"/>
      <c r="E48" s="4" t="n"/>
      <c r="F48" s="4" t="n"/>
      <c r="G48" s="4" t="n"/>
      <c r="H48" s="4" t="n"/>
    </row>
    <row r="49" ht="22" customHeight="1">
      <c r="A49" s="3" t="inlineStr">
        <is>
          <t>(detalhes)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17" t="inlineStr">
        <is>
          <t>Tolerância absorvida</t>
        </is>
      </c>
      <c r="B50" s="11" t="inlineStr">
        <is>
          <t>0 registros · -</t>
        </is>
      </c>
      <c r="C50" s="13" t="n"/>
      <c r="D50" s="13" t="n"/>
      <c r="E50" s="13" t="n"/>
      <c r="F50" s="13" t="n"/>
      <c r="G50" s="13" t="n"/>
      <c r="H50" s="13" t="n"/>
    </row>
    <row r="51">
      <c r="A51" s="18" t="inlineStr">
        <is>
          <t>Duplicidades detectadas</t>
        </is>
      </c>
      <c r="B51" s="14" t="inlineStr">
        <is>
          <t>44 chaves afetando 115 registros</t>
        </is>
      </c>
      <c r="C51" s="16" t="n"/>
      <c r="D51" s="16" t="n"/>
      <c r="E51" s="16" t="n"/>
      <c r="F51" s="16" t="n"/>
      <c r="G51" s="16" t="n"/>
      <c r="H51" s="16" t="n"/>
    </row>
    <row r="52">
      <c r="A52" s="17" t="inlineStr">
        <is>
          <t>Ambiguidades de match</t>
        </is>
      </c>
      <c r="B52" s="11" t="inlineStr">
        <is>
          <t>0 chaves afetando 0 registros</t>
        </is>
      </c>
      <c r="C52" s="13" t="n"/>
      <c r="D52" s="13" t="n"/>
      <c r="E52" s="13" t="n"/>
      <c r="F52" s="13" t="n"/>
      <c r="G52" s="13" t="n"/>
      <c r="H52" s="13" t="n"/>
    </row>
    <row r="53">
      <c r="A53" s="18" t="inlineStr">
        <is>
          <t>Warnings ativos</t>
        </is>
      </c>
      <c r="B53" s="14" t="inlineStr">
        <is>
          <t>1</t>
        </is>
      </c>
      <c r="C53" s="16" t="n"/>
      <c r="D53" s="16" t="n"/>
      <c r="E53" s="16" t="n"/>
      <c r="F53" s="16" t="n"/>
      <c r="G53" s="16" t="n"/>
      <c r="H53" s="16" t="n"/>
    </row>
    <row r="54" ht="8" customHeight="1"/>
    <row r="55" ht="22" customHeight="1">
      <c r="A55" s="3" t="inlineStr">
        <is>
          <t>Configuração aplicada</t>
        </is>
      </c>
      <c r="B55" s="4" t="n"/>
      <c r="C55" s="4" t="n"/>
      <c r="D55" s="4" t="n"/>
      <c r="E55" s="4" t="n"/>
      <c r="F55" s="4" t="n"/>
      <c r="G55" s="4" t="n"/>
      <c r="H55" s="4" t="n"/>
    </row>
    <row r="56" ht="22" customHeight="1">
      <c r="A56" s="3" t="inlineStr">
        <is>
          <t>(detalhes)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17" t="inlineStr">
        <is>
          <t>Agrupadores de match</t>
        </is>
      </c>
      <c r="B57" s="11" t="inlineStr">
        <is>
          <t>Conta (Exato (igualdade total)) · Centro de Custo (Exato (igualdade total))</t>
        </is>
      </c>
      <c r="C57" s="13" t="n"/>
      <c r="D57" s="13" t="n"/>
      <c r="E57" s="13" t="n"/>
      <c r="F57" s="13" t="n"/>
      <c r="G57" s="13" t="n"/>
      <c r="H57" s="13" t="n"/>
    </row>
    <row r="58">
      <c r="A58" s="18" t="inlineStr">
        <is>
          <t>Agrupadores do Resumo</t>
        </is>
      </c>
      <c r="B58" s="14" t="inlineStr">
        <is>
          <t>Centro_Custo</t>
        </is>
      </c>
      <c r="C58" s="16" t="n"/>
      <c r="D58" s="16" t="n"/>
      <c r="E58" s="16" t="n"/>
      <c r="F58" s="16" t="n"/>
      <c r="G58" s="16" t="n"/>
      <c r="H58" s="16" t="n"/>
    </row>
    <row r="59">
      <c r="A59" s="17" t="inlineStr">
        <is>
          <t>Campo: Valor</t>
        </is>
      </c>
      <c r="B59" s="11" t="inlineStr">
        <is>
          <t>tipo VALOR_MONETARIO · unidade MONETARIO_BRL · tolerância 0.01</t>
        </is>
      </c>
      <c r="C59" s="13" t="n"/>
      <c r="D59" s="13" t="n"/>
      <c r="E59" s="13" t="n"/>
      <c r="F59" s="13" t="n"/>
      <c r="G59" s="13" t="n"/>
      <c r="H59" s="13" t="n"/>
    </row>
    <row r="60">
      <c r="A60" s="18" t="inlineStr">
        <is>
          <t>Caso lógico</t>
        </is>
      </c>
      <c r="B60" s="14" t="inlineStr">
        <is>
          <t>Abas distintas · match executado</t>
        </is>
      </c>
      <c r="C60" s="16" t="n"/>
      <c r="D60" s="16" t="n"/>
      <c r="E60" s="16" t="n"/>
      <c r="F60" s="16" t="n"/>
      <c r="G60" s="16" t="n"/>
      <c r="H60" s="16" t="n"/>
    </row>
    <row r="61">
      <c r="A61" s="17" t="inlineStr">
        <is>
          <t>Paleta executiva</t>
        </is>
      </c>
      <c r="B61" s="11" t="inlineStr">
        <is>
          <t>Azul executivo</t>
        </is>
      </c>
      <c r="C61" s="13" t="n"/>
      <c r="D61" s="13" t="n"/>
      <c r="E61" s="13" t="n"/>
      <c r="F61" s="13" t="n"/>
      <c r="G61" s="13" t="n"/>
      <c r="H61" s="13" t="n"/>
    </row>
    <row r="62" ht="8" customHeight="1"/>
    <row r="63" ht="22" customHeight="1">
      <c r="A63" s="3" t="inlineStr">
        <is>
          <t>Leitura Qualitativa</t>
        </is>
      </c>
      <c r="B63" s="4" t="n"/>
      <c r="C63" s="4" t="n"/>
      <c r="D63" s="4" t="n"/>
      <c r="E63" s="4" t="n"/>
      <c r="F63" s="4" t="n"/>
      <c r="G63" s="4" t="n"/>
      <c r="H63" s="4" t="n"/>
    </row>
    <row r="64" ht="80" customHeight="1">
      <c r="A64" s="20" t="inlineStr">
        <is>
          <t>A análise foi executada no caso lógico ABAS_DISTINTAS · com match entre as bases. A taxa de conciliação geral é 0.0% · classificação BAIXA. Foram detectados 10 registros com divergência de valor.</t>
        </is>
      </c>
    </row>
  </sheetData>
  <mergeCells count="34">
    <mergeCell ref="A48:H48"/>
    <mergeCell ref="A64:H64"/>
    <mergeCell ref="A49:H49"/>
    <mergeCell ref="A1:H1"/>
    <mergeCell ref="B51:H51"/>
    <mergeCell ref="B50:H50"/>
    <mergeCell ref="A25:H25"/>
    <mergeCell ref="B35:H35"/>
    <mergeCell ref="A37:H37"/>
    <mergeCell ref="B59:H59"/>
    <mergeCell ref="A56:H56"/>
    <mergeCell ref="B22:H22"/>
    <mergeCell ref="A26:H26"/>
    <mergeCell ref="A55:H55"/>
    <mergeCell ref="B58:H58"/>
    <mergeCell ref="B52:H52"/>
    <mergeCell ref="B21:H21"/>
    <mergeCell ref="A2:H2"/>
    <mergeCell ref="A33:H33"/>
    <mergeCell ref="A5:H5"/>
    <mergeCell ref="A32:H32"/>
    <mergeCell ref="A8:H8"/>
    <mergeCell ref="B60:H60"/>
    <mergeCell ref="B23:H23"/>
    <mergeCell ref="B61:H61"/>
    <mergeCell ref="A4:H4"/>
    <mergeCell ref="B57:H57"/>
    <mergeCell ref="A20:H20"/>
    <mergeCell ref="B53:H53"/>
    <mergeCell ref="A63:H63"/>
    <mergeCell ref="A28:H28"/>
    <mergeCell ref="A6:H7"/>
    <mergeCell ref="A19:H19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7" customWidth="1" min="4" max="4"/>
    <col width="25" customWidth="1" min="5" max="5"/>
    <col width="20" customWidth="1" min="6" max="6"/>
    <col width="24" customWidth="1" min="7" max="7"/>
    <col width="27" customWidth="1" min="8" max="8"/>
    <col width="23" customWidth="1" min="9" max="9"/>
  </cols>
  <sheetData>
    <row r="1" ht="28" customHeight="1">
      <c r="A1" s="1" t="inlineStr">
        <is>
          <t>Resumo por Centro_Custo</t>
        </is>
      </c>
    </row>
    <row r="2" ht="8" customHeight="1"/>
    <row r="3">
      <c r="A3" s="9" t="inlineStr">
        <is>
          <t>Centro_Custo</t>
        </is>
      </c>
      <c r="B3" s="9" t="inlineStr">
        <is>
          <t>N Conciliados</t>
        </is>
      </c>
      <c r="C3" s="9" t="inlineStr">
        <is>
          <t>N Divergentes</t>
        </is>
      </c>
      <c r="D3" s="9" t="inlineStr">
        <is>
          <t>N Saiu do Razão</t>
        </is>
      </c>
      <c r="E3" s="9" t="inlineStr">
        <is>
          <t>N Apareceu no Balancete</t>
        </is>
      </c>
      <c r="F3" s="9" t="inlineStr">
        <is>
          <t>Soma Razão · Valor</t>
        </is>
      </c>
      <c r="G3" s="9" t="inlineStr">
        <is>
          <t>Soma Balancete · Valor</t>
        </is>
      </c>
      <c r="H3" s="9" t="inlineStr">
        <is>
          <t>Diferença líquida · Valor</t>
        </is>
      </c>
      <c r="I3" s="9" t="inlineStr">
        <is>
          <t>Σ |Diferença| · Valor</t>
        </is>
      </c>
    </row>
    <row r="4">
      <c r="A4" s="21" t="inlineStr">
        <is>
          <t>OPERACOES</t>
        </is>
      </c>
      <c r="B4" s="22" t="n">
        <v>0</v>
      </c>
      <c r="C4" s="22" t="n">
        <v>2</v>
      </c>
      <c r="D4" s="22" t="n">
        <v>5</v>
      </c>
      <c r="E4" s="22" t="n">
        <v>7</v>
      </c>
      <c r="F4" s="23" t="n">
        <v>10642.51</v>
      </c>
      <c r="G4" s="23" t="n">
        <v>97143.39999999999</v>
      </c>
      <c r="H4" s="23" t="n">
        <v>-86500.89</v>
      </c>
      <c r="I4" s="23" t="n">
        <v>10391.55</v>
      </c>
    </row>
    <row r="5">
      <c r="A5" s="24" t="inlineStr">
        <is>
          <t>ADM</t>
        </is>
      </c>
      <c r="B5" s="25" t="n">
        <v>0</v>
      </c>
      <c r="C5" s="25" t="n">
        <v>1</v>
      </c>
      <c r="D5" s="25" t="n">
        <v>4</v>
      </c>
      <c r="E5" s="25" t="n">
        <v>6</v>
      </c>
      <c r="F5" s="26" t="n">
        <v>15459.59</v>
      </c>
      <c r="G5" s="26" t="n">
        <v>41668.93</v>
      </c>
      <c r="H5" s="26" t="n">
        <v>-26209.34</v>
      </c>
      <c r="I5" s="26" t="n">
        <v>2486.99</v>
      </c>
    </row>
    <row r="6">
      <c r="A6" s="21" t="inlineStr">
        <is>
          <t>TI</t>
        </is>
      </c>
      <c r="B6" s="22" t="n">
        <v>0</v>
      </c>
      <c r="C6" s="22" t="n">
        <v>0</v>
      </c>
      <c r="D6" s="22" t="n">
        <v>6</v>
      </c>
      <c r="E6" s="22" t="n">
        <v>7</v>
      </c>
      <c r="F6" s="23" t="n">
        <v>33786.16</v>
      </c>
      <c r="G6" s="23" t="n">
        <v>7619.75</v>
      </c>
      <c r="H6" s="23" t="n">
        <v>26166.41</v>
      </c>
      <c r="I6" s="23" t="n">
        <v>0</v>
      </c>
    </row>
    <row r="7">
      <c r="A7" s="24" t="inlineStr">
        <is>
          <t>RH</t>
        </is>
      </c>
      <c r="B7" s="25" t="n">
        <v>0</v>
      </c>
      <c r="C7" s="25" t="n">
        <v>2</v>
      </c>
      <c r="D7" s="25" t="n">
        <v>2</v>
      </c>
      <c r="E7" s="25" t="n">
        <v>6</v>
      </c>
      <c r="F7" s="26" t="n">
        <v>13495.92</v>
      </c>
      <c r="G7" s="26" t="n">
        <v>34957.74</v>
      </c>
      <c r="H7" s="26" t="n">
        <v>-21461.82</v>
      </c>
      <c r="I7" s="26" t="n">
        <v>2116.28</v>
      </c>
    </row>
    <row r="8">
      <c r="A8" s="21" t="inlineStr">
        <is>
          <t>COMERCIAL</t>
        </is>
      </c>
      <c r="B8" s="22" t="n">
        <v>0</v>
      </c>
      <c r="C8" s="22" t="n">
        <v>3</v>
      </c>
      <c r="D8" s="22" t="n">
        <v>3</v>
      </c>
      <c r="E8" s="22" t="n">
        <v>6</v>
      </c>
      <c r="F8" s="23" t="n">
        <v>12662.74</v>
      </c>
      <c r="G8" s="23" t="n">
        <v>21678.62</v>
      </c>
      <c r="H8" s="23" t="n">
        <v>-9015.879999999999</v>
      </c>
      <c r="I8" s="23" t="n">
        <v>11021.41</v>
      </c>
    </row>
    <row r="9">
      <c r="A9" s="24" t="inlineStr">
        <is>
          <t>FINANCEIRO</t>
        </is>
      </c>
      <c r="B9" s="25" t="n">
        <v>0</v>
      </c>
      <c r="C9" s="25" t="n">
        <v>0</v>
      </c>
      <c r="D9" s="25" t="n">
        <v>5</v>
      </c>
      <c r="E9" s="25" t="n">
        <v>3</v>
      </c>
      <c r="F9" s="26" t="n">
        <v>11574.82</v>
      </c>
      <c r="G9" s="26" t="n">
        <v>2844.45</v>
      </c>
      <c r="H9" s="26" t="n">
        <v>8730.370000000001</v>
      </c>
      <c r="I9" s="26" t="n">
        <v>0</v>
      </c>
    </row>
    <row r="10">
      <c r="A10" s="21" t="inlineStr">
        <is>
          <t>LOGISTICA</t>
        </is>
      </c>
      <c r="B10" s="22" t="n">
        <v>0</v>
      </c>
      <c r="C10" s="22" t="n">
        <v>1</v>
      </c>
      <c r="D10" s="22" t="n">
        <v>8</v>
      </c>
      <c r="E10" s="22" t="n">
        <v>5</v>
      </c>
      <c r="F10" s="23" t="n">
        <v>16640.67</v>
      </c>
      <c r="G10" s="23" t="n">
        <v>12487.15</v>
      </c>
      <c r="H10" s="23" t="n">
        <v>4153.52</v>
      </c>
      <c r="I10" s="23" t="n">
        <v>870.53</v>
      </c>
    </row>
    <row r="11">
      <c r="A11" s="24" t="inlineStr">
        <is>
          <t>MARKETING</t>
        </is>
      </c>
      <c r="B11" s="25" t="n">
        <v>0</v>
      </c>
      <c r="C11" s="25" t="n">
        <v>1</v>
      </c>
      <c r="D11" s="25" t="n">
        <v>3</v>
      </c>
      <c r="E11" s="25" t="n">
        <v>4</v>
      </c>
      <c r="F11" s="26" t="n">
        <v>25258.83</v>
      </c>
      <c r="G11" s="26" t="n">
        <v>27703.73</v>
      </c>
      <c r="H11" s="26" t="n">
        <v>-2444.9</v>
      </c>
      <c r="I11" s="26" t="n">
        <v>2097.05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17" customWidth="1" min="4" max="4"/>
    <col width="15" customWidth="1" min="5" max="5"/>
    <col width="21" customWidth="1" min="6" max="6"/>
    <col width="13" customWidth="1" min="7" max="7"/>
  </cols>
  <sheetData>
    <row r="1" ht="28" customHeight="1">
      <c r="A1" s="1" t="inlineStr">
        <is>
          <t>Mapa de Conciliação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Diferença total</t>
        </is>
      </c>
      <c r="E3" s="9" t="inlineStr">
        <is>
          <t>Σ |Diferença|</t>
        </is>
      </c>
      <c r="F3" s="9" t="inlineStr">
        <is>
          <t>Variação total %</t>
        </is>
      </c>
      <c r="G3" s="9" t="inlineStr">
        <is>
          <t>Observações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-8387.5</v>
      </c>
      <c r="E4" s="23" t="n">
        <v>8387.5</v>
      </c>
      <c r="F4" s="27" t="n">
        <v>-16.2617782775602</v>
      </c>
      <c r="G4" s="21" t="inlineStr">
        <is>
          <t>—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-5473.91</v>
      </c>
      <c r="E5" s="26" t="n">
        <v>5473.91</v>
      </c>
      <c r="F5" s="28" t="n">
        <v>-17.50866811668373</v>
      </c>
      <c r="G5" s="24" t="inlineStr">
        <is>
          <t>—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1832.06</v>
      </c>
      <c r="E6" s="23" t="n">
        <v>1832.06</v>
      </c>
      <c r="F6" s="27" t="n">
        <v>0.7566275011873541</v>
      </c>
      <c r="G6" s="21" t="inlineStr">
        <is>
          <t>—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284.22</v>
      </c>
      <c r="E7" s="26" t="n">
        <v>284.22</v>
      </c>
      <c r="F7" s="28" t="n">
        <v>0.2603724841744611</v>
      </c>
      <c r="G7" s="24" t="inlineStr">
        <is>
          <t>—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2097.05</v>
      </c>
      <c r="E8" s="23" t="n">
        <v>2097.05</v>
      </c>
      <c r="F8" s="27" t="n">
        <v>0.720791786537979</v>
      </c>
      <c r="G8" s="21" t="inlineStr">
        <is>
          <t>—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-4917.64</v>
      </c>
      <c r="E9" s="26" t="n">
        <v>4917.64</v>
      </c>
      <c r="F9" s="28" t="n">
        <v>-1.47221507050265</v>
      </c>
      <c r="G9" s="24" t="inlineStr">
        <is>
          <t>—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-2486.99</v>
      </c>
      <c r="E10" s="23" t="n">
        <v>2486.99</v>
      </c>
      <c r="F10" s="27" t="n">
        <v>-1.27293154190659</v>
      </c>
      <c r="G10" s="21" t="inlineStr">
        <is>
          <t>—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-870.53</v>
      </c>
      <c r="E11" s="26" t="n">
        <v>870.53</v>
      </c>
      <c r="F11" s="28" t="n">
        <v>-0.5477925444889123</v>
      </c>
      <c r="G11" s="24" t="inlineStr">
        <is>
          <t>—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253.57</v>
      </c>
      <c r="E12" s="23" t="n">
        <v>253.57</v>
      </c>
      <c r="F12" s="27" t="n">
        <v>0.2788904653490393</v>
      </c>
      <c r="G12" s="21" t="inlineStr">
        <is>
          <t>—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-2380.34</v>
      </c>
      <c r="E13" s="26" t="n">
        <v>2380.34</v>
      </c>
      <c r="F13" s="28" t="n">
        <v>-0.6625287727433402</v>
      </c>
      <c r="G13" s="24" t="inlineStr">
        <is>
          <t>—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/>
      <c r="E14" s="23" t="n"/>
      <c r="F14" s="27" t="n"/>
      <c r="G14" s="21" t="inlineStr">
        <is>
          <t>—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/>
      <c r="E15" s="26" t="n"/>
      <c r="F15" s="28" t="n"/>
      <c r="G15" s="24" t="inlineStr">
        <is>
          <t>—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/>
      <c r="E16" s="23" t="n"/>
      <c r="F16" s="27" t="n"/>
      <c r="G16" s="21" t="inlineStr">
        <is>
          <t>—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/>
      <c r="E17" s="26" t="n"/>
      <c r="F17" s="28" t="n"/>
      <c r="G17" s="24" t="inlineStr">
        <is>
          <t>—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/>
      <c r="E18" s="23" t="n"/>
      <c r="F18" s="27" t="n"/>
      <c r="G18" s="21" t="inlineStr">
        <is>
          <t>—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/>
      <c r="E19" s="26" t="n"/>
      <c r="F19" s="28" t="n"/>
      <c r="G19" s="24" t="inlineStr">
        <is>
          <t>—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/>
      <c r="E20" s="23" t="n"/>
      <c r="F20" s="27" t="n"/>
      <c r="G20" s="21" t="inlineStr">
        <is>
          <t>—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/>
      <c r="E21" s="26" t="n"/>
      <c r="F21" s="28" t="n"/>
      <c r="G21" s="24" t="inlineStr">
        <is>
          <t>—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/>
      <c r="E22" s="23" t="n"/>
      <c r="F22" s="27" t="n"/>
      <c r="G22" s="21" t="inlineStr">
        <is>
          <t>—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/>
      <c r="E23" s="26" t="n"/>
      <c r="F23" s="28" t="n"/>
      <c r="G23" s="24" t="inlineStr">
        <is>
          <t>—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/>
      <c r="E24" s="23" t="n"/>
      <c r="F24" s="27" t="n"/>
      <c r="G24" s="21" t="inlineStr">
        <is>
          <t>—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/>
      <c r="E25" s="26" t="n"/>
      <c r="F25" s="28" t="n"/>
      <c r="G25" s="24" t="inlineStr">
        <is>
          <t>—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/>
      <c r="E26" s="23" t="n"/>
      <c r="F26" s="27" t="n"/>
      <c r="G26" s="21" t="inlineStr">
        <is>
          <t>—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/>
      <c r="E27" s="26" t="n"/>
      <c r="F27" s="28" t="n"/>
      <c r="G27" s="24" t="inlineStr">
        <is>
          <t>—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/>
      <c r="E28" s="23" t="n"/>
      <c r="F28" s="27" t="n"/>
      <c r="G28" s="21" t="inlineStr">
        <is>
          <t>—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/>
      <c r="E29" s="26" t="n"/>
      <c r="F29" s="28" t="n"/>
      <c r="G29" s="24" t="inlineStr">
        <is>
          <t>—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/>
      <c r="E30" s="23" t="n"/>
      <c r="F30" s="27" t="n"/>
      <c r="G30" s="21" t="inlineStr">
        <is>
          <t>—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/>
      <c r="E31" s="26" t="n"/>
      <c r="F31" s="28" t="n"/>
      <c r="G31" s="24" t="inlineStr">
        <is>
          <t>—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/>
      <c r="E32" s="23" t="n"/>
      <c r="F32" s="27" t="n"/>
      <c r="G32" s="21" t="inlineStr">
        <is>
          <t>—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/>
      <c r="E33" s="26" t="n"/>
      <c r="F33" s="28" t="n"/>
      <c r="G33" s="24" t="inlineStr">
        <is>
          <t>—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7" t="n"/>
      <c r="G34" s="21" t="inlineStr">
        <is>
          <t>—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/>
      <c r="E35" s="26" t="n"/>
      <c r="F35" s="28" t="n"/>
      <c r="G35" s="24" t="inlineStr">
        <is>
          <t>—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/>
      <c r="E36" s="23" t="n"/>
      <c r="F36" s="27" t="n"/>
      <c r="G36" s="21" t="inlineStr">
        <is>
          <t>—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/>
      <c r="E37" s="26" t="n"/>
      <c r="F37" s="28" t="n"/>
      <c r="G37" s="24" t="inlineStr">
        <is>
          <t>—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/>
      <c r="E38" s="23" t="n"/>
      <c r="F38" s="27" t="n"/>
      <c r="G38" s="21" t="inlineStr">
        <is>
          <t>—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/>
      <c r="E39" s="26" t="n"/>
      <c r="F39" s="28" t="n"/>
      <c r="G39" s="24" t="inlineStr">
        <is>
          <t>—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/>
      <c r="E40" s="23" t="n"/>
      <c r="F40" s="27" t="n"/>
      <c r="G40" s="21" t="inlineStr">
        <is>
          <t>—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/>
      <c r="E41" s="26" t="n"/>
      <c r="F41" s="28" t="n"/>
      <c r="G41" s="24" t="inlineStr">
        <is>
          <t>—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/>
      <c r="E42" s="23" t="n"/>
      <c r="F42" s="27" t="n"/>
      <c r="G42" s="21" t="inlineStr">
        <is>
          <t>—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/>
      <c r="E43" s="26" t="n"/>
      <c r="F43" s="28" t="n"/>
      <c r="G43" s="24" t="inlineStr">
        <is>
          <t>—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/>
      <c r="E44" s="23" t="n"/>
      <c r="F44" s="27" t="n"/>
      <c r="G44" s="21" t="inlineStr">
        <is>
          <t>—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/>
      <c r="E45" s="26" t="n"/>
      <c r="F45" s="28" t="n"/>
      <c r="G45" s="24" t="inlineStr">
        <is>
          <t>—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/>
      <c r="E46" s="23" t="n"/>
      <c r="F46" s="27" t="n"/>
      <c r="G46" s="21" t="inlineStr">
        <is>
          <t>—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/>
      <c r="E47" s="26" t="n"/>
      <c r="F47" s="28" t="n"/>
      <c r="G47" s="24" t="inlineStr">
        <is>
          <t>—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/>
      <c r="E48" s="23" t="n"/>
      <c r="F48" s="27" t="n"/>
      <c r="G48" s="21" t="inlineStr">
        <is>
          <t>—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/>
      <c r="E49" s="26" t="n"/>
      <c r="F49" s="28" t="n"/>
      <c r="G49" s="24" t="inlineStr">
        <is>
          <t>—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/>
      <c r="F50" s="27" t="n"/>
      <c r="G50" s="21" t="inlineStr">
        <is>
          <t>—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/>
      <c r="F51" s="28" t="n"/>
      <c r="G51" s="24" t="inlineStr">
        <is>
          <t>—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/>
      <c r="F52" s="27" t="n"/>
      <c r="G52" s="21" t="inlineStr">
        <is>
          <t>—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/>
      <c r="F53" s="28" t="n"/>
      <c r="G53" s="24" t="inlineStr">
        <is>
          <t>—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/>
      <c r="F54" s="27" t="n"/>
      <c r="G54" s="21" t="inlineStr">
        <is>
          <t>—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/>
      <c r="F55" s="28" t="n"/>
      <c r="G55" s="24" t="inlineStr">
        <is>
          <t>—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/>
      <c r="F56" s="27" t="n"/>
      <c r="G56" s="21" t="inlineStr">
        <is>
          <t>—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/>
      <c r="F57" s="28" t="n"/>
      <c r="G57" s="24" t="inlineStr">
        <is>
          <t>—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/>
      <c r="F58" s="27" t="n"/>
      <c r="G58" s="21" t="inlineStr">
        <is>
          <t>—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/>
      <c r="F59" s="28" t="n"/>
      <c r="G59" s="24" t="inlineStr">
        <is>
          <t>—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/>
      <c r="F60" s="27" t="n"/>
      <c r="G60" s="21" t="inlineStr">
        <is>
          <t>—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/>
      <c r="F61" s="28" t="n"/>
      <c r="G61" s="24" t="inlineStr">
        <is>
          <t>—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/>
      <c r="F62" s="27" t="n"/>
      <c r="G62" s="21" t="inlineStr">
        <is>
          <t>—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/>
      <c r="F63" s="28" t="n"/>
      <c r="G63" s="24" t="inlineStr">
        <is>
          <t>—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/>
      <c r="F64" s="27" t="n"/>
      <c r="G64" s="21" t="inlineStr">
        <is>
          <t>—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/>
      <c r="F65" s="28" t="n"/>
      <c r="G65" s="24" t="inlineStr">
        <is>
          <t>—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/>
      <c r="F66" s="27" t="n"/>
      <c r="G66" s="21" t="inlineStr">
        <is>
          <t>—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/>
      <c r="F67" s="28" t="n"/>
      <c r="G67" s="24" t="inlineStr">
        <is>
          <t>—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/>
      <c r="F68" s="27" t="n"/>
      <c r="G68" s="21" t="inlineStr">
        <is>
          <t>—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/>
      <c r="F69" s="28" t="n"/>
      <c r="G69" s="24" t="inlineStr">
        <is>
          <t>—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/>
      <c r="F70" s="27" t="n"/>
      <c r="G70" s="21" t="inlineStr">
        <is>
          <t>—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/>
      <c r="F71" s="28" t="n"/>
      <c r="G71" s="24" t="inlineStr">
        <is>
          <t>—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/>
      <c r="F72" s="27" t="n"/>
      <c r="G72" s="21" t="inlineStr">
        <is>
          <t>—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/>
      <c r="F73" s="28" t="n"/>
      <c r="G73" s="24" t="inlineStr">
        <is>
          <t>—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/>
      <c r="F74" s="27" t="n"/>
      <c r="G74" s="21" t="inlineStr">
        <is>
          <t>—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/>
      <c r="F75" s="28" t="n"/>
      <c r="G75" s="24" t="inlineStr">
        <is>
          <t>—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/>
      <c r="F76" s="27" t="n"/>
      <c r="G76" s="21" t="inlineStr">
        <is>
          <t>—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/>
      <c r="F77" s="28" t="n"/>
      <c r="G77" s="24" t="inlineStr">
        <is>
          <t>—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/>
      <c r="F78" s="27" t="n"/>
      <c r="G78" s="21" t="inlineStr">
        <is>
          <t>—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/>
      <c r="F79" s="28" t="n"/>
      <c r="G79" s="24" t="inlineStr">
        <is>
          <t>—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/>
      <c r="F80" s="27" t="n"/>
      <c r="G80" s="21" t="inlineStr">
        <is>
          <t>—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/>
      <c r="F81" s="28" t="n"/>
      <c r="G81" s="24" t="inlineStr">
        <is>
          <t>—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/>
      <c r="F82" s="27" t="n"/>
      <c r="G82" s="21" t="inlineStr">
        <is>
          <t>—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/>
      <c r="F83" s="28" t="n"/>
      <c r="G83" s="24" t="inlineStr">
        <is>
          <t>—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/>
      <c r="F84" s="27" t="n"/>
      <c r="G84" s="21" t="inlineStr">
        <is>
          <t>—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/>
      <c r="F85" s="28" t="n"/>
      <c r="G85" s="24" t="inlineStr">
        <is>
          <t>—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/>
      <c r="F86" s="27" t="n"/>
      <c r="G86" s="21" t="inlineStr">
        <is>
          <t>—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/>
      <c r="F87" s="28" t="n"/>
      <c r="G87" s="24" t="inlineStr">
        <is>
          <t>—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/>
      <c r="F88" s="27" t="n"/>
      <c r="G88" s="21" t="inlineStr">
        <is>
          <t>—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/>
      <c r="F89" s="28" t="n"/>
      <c r="G89" s="24" t="inlineStr">
        <is>
          <t>—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/>
      <c r="F90" s="27" t="n"/>
      <c r="G90" s="21" t="inlineStr">
        <is>
          <t>—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/>
      <c r="F91" s="28" t="n"/>
      <c r="G91" s="24" t="inlineStr">
        <is>
          <t>—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/>
      <c r="F92" s="27" t="n"/>
      <c r="G92" s="21" t="inlineStr">
        <is>
          <t>—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/>
      <c r="F93" s="28" t="n"/>
      <c r="G93" s="24" t="inlineStr">
        <is>
          <t>—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7" t="n"/>
      <c r="G94" s="21" t="inlineStr">
        <is>
          <t>—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8" t="n"/>
      <c r="G95" s="24" t="inlineStr">
        <is>
          <t>—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7" t="n"/>
      <c r="G96" s="21" t="inlineStr">
        <is>
          <t>—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8" t="n"/>
      <c r="G97" s="24" t="inlineStr">
        <is>
          <t>—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7" t="n"/>
      <c r="G98" s="21" t="inlineStr">
        <is>
          <t>—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8" t="n"/>
      <c r="G99" s="24" t="inlineStr">
        <is>
          <t>—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7" t="n"/>
      <c r="G100" s="21" t="inlineStr">
        <is>
          <t>—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8" t="n"/>
      <c r="G101" s="24" t="inlineStr">
        <is>
          <t>—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7" t="n"/>
      <c r="G102" s="21" t="inlineStr">
        <is>
          <t>—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8" t="n"/>
      <c r="G103" s="24" t="inlineStr">
        <is>
          <t>—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7" t="n"/>
      <c r="G104" s="21" t="inlineStr">
        <is>
          <t>—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8" t="n"/>
      <c r="G105" s="24" t="inlineStr">
        <is>
          <t>—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7" t="n"/>
      <c r="G106" s="21" t="inlineStr">
        <is>
          <t>—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8" t="n"/>
      <c r="G107" s="24" t="inlineStr">
        <is>
          <t>—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7" t="n"/>
      <c r="G108" s="21" t="inlineStr">
        <is>
          <t>—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8" t="n"/>
      <c r="G109" s="24" t="inlineStr">
        <is>
          <t>—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7" t="n"/>
      <c r="G110" s="21" t="inlineStr">
        <is>
          <t>—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8" t="n"/>
      <c r="G111" s="24" t="inlineStr">
        <is>
          <t>—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7" t="n"/>
      <c r="G112" s="21" t="inlineStr">
        <is>
          <t>—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8" t="n"/>
      <c r="G113" s="24" t="inlineStr">
        <is>
          <t>—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7" t="n"/>
      <c r="G114" s="21" t="inlineStr">
        <is>
          <t>—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8" t="n"/>
      <c r="G115" s="24" t="inlineStr">
        <is>
          <t>—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7" t="n"/>
      <c r="G116" s="21" t="inlineStr">
        <is>
          <t>—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8" t="n"/>
      <c r="G117" s="24" t="inlineStr">
        <is>
          <t>—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7" t="n"/>
      <c r="G118" s="21" t="inlineStr">
        <is>
          <t>—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8" t="n"/>
      <c r="G119" s="24" t="inlineStr">
        <is>
          <t>—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7" t="n"/>
      <c r="G120" s="21" t="inlineStr">
        <is>
          <t>—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8" t="n"/>
      <c r="G121" s="24" t="inlineStr">
        <is>
          <t>—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7" t="n"/>
      <c r="G122" s="21" t="inlineStr">
        <is>
          <t>—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8" t="n"/>
      <c r="G123" s="24" t="inlineStr">
        <is>
          <t>—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7" t="n"/>
      <c r="G124" s="21" t="inlineStr">
        <is>
          <t>—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8" t="n"/>
      <c r="G125" s="24" t="inlineStr">
        <is>
          <t>—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7" t="n"/>
      <c r="G126" s="21" t="inlineStr">
        <is>
          <t>—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8" t="n"/>
      <c r="G127" s="24" t="inlineStr">
        <is>
          <t>—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7" t="n"/>
      <c r="G128" s="21" t="inlineStr">
        <is>
          <t>—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8" t="n"/>
      <c r="G129" s="24" t="inlineStr">
        <is>
          <t>—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7" t="n"/>
      <c r="G130" s="21" t="inlineStr">
        <is>
          <t>—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8" t="n"/>
      <c r="G131" s="24" t="inlineStr">
        <is>
          <t>—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7" t="n"/>
      <c r="G132" s="21" t="inlineStr">
        <is>
          <t>—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8" t="n"/>
      <c r="G133" s="24" t="inlineStr">
        <is>
          <t>—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7" t="n"/>
      <c r="G134" s="21" t="inlineStr">
        <is>
          <t>—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8" t="n"/>
      <c r="G135" s="24" t="inlineStr">
        <is>
          <t>—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7" t="n"/>
      <c r="G136" s="21" t="inlineStr">
        <is>
          <t>—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8" t="n"/>
      <c r="G137" s="2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1" customWidth="1" min="4" max="4"/>
    <col width="25" customWidth="1" min="5" max="5"/>
    <col width="19" customWidth="1" min="6" max="6"/>
    <col width="21" customWidth="1" min="7" max="7"/>
  </cols>
  <sheetData>
    <row r="1" ht="28" customHeight="1">
      <c r="A1" s="1" t="inlineStr">
        <is>
          <t>Análise Analítica</t>
        </is>
      </c>
    </row>
    <row r="2" ht="8" customHeight="1"/>
    <row r="3">
      <c r="A3" s="9" t="inlineStr">
        <is>
          <t>Conta</t>
        </is>
      </c>
      <c r="B3" s="9" t="inlineStr">
        <is>
          <t>Centro de Custo</t>
        </is>
      </c>
      <c r="C3" s="9" t="inlineStr">
        <is>
          <t>Classificação</t>
        </is>
      </c>
      <c r="D3" s="9" t="inlineStr">
        <is>
          <t>Valor Razão · Valor</t>
        </is>
      </c>
      <c r="E3" s="9" t="inlineStr">
        <is>
          <t>Valor Balancete · Valor</t>
        </is>
      </c>
      <c r="F3" s="9" t="inlineStr">
        <is>
          <t>Diferença · Valor</t>
        </is>
      </c>
      <c r="G3" s="9" t="inlineStr">
        <is>
          <t>Status · Valor</t>
        </is>
      </c>
    </row>
    <row r="4">
      <c r="A4" s="21" t="inlineStr">
        <is>
          <t>CC-1005</t>
        </is>
      </c>
      <c r="B4" s="21" t="inlineStr">
        <is>
          <t>COMERCIAL</t>
        </is>
      </c>
      <c r="C4" s="21" t="inlineStr">
        <is>
          <t>Divergente por valor</t>
        </is>
      </c>
      <c r="D4" s="23" t="n">
        <v>515.78</v>
      </c>
      <c r="E4" s="23" t="n">
        <v>8903.280000000001</v>
      </c>
      <c r="F4" s="23" t="n">
        <v>-8387.5</v>
      </c>
      <c r="G4" s="21" t="inlineStr">
        <is>
          <t>DIVERGENTE</t>
        </is>
      </c>
    </row>
    <row r="5">
      <c r="A5" s="24" t="inlineStr">
        <is>
          <t>CC-1005</t>
        </is>
      </c>
      <c r="B5" s="24" t="inlineStr">
        <is>
          <t>OPERACOES</t>
        </is>
      </c>
      <c r="C5" s="24" t="inlineStr">
        <is>
          <t>Divergente por valor</t>
        </is>
      </c>
      <c r="D5" s="26" t="n">
        <v>312.64</v>
      </c>
      <c r="E5" s="26" t="n">
        <v>5786.55</v>
      </c>
      <c r="F5" s="26" t="n">
        <v>-5473.91</v>
      </c>
      <c r="G5" s="24" t="inlineStr">
        <is>
          <t>DIVERGENTE</t>
        </is>
      </c>
    </row>
    <row r="6">
      <c r="A6" s="21" t="inlineStr">
        <is>
          <t>CC-1006</t>
        </is>
      </c>
      <c r="B6" s="21" t="inlineStr">
        <is>
          <t>RH</t>
        </is>
      </c>
      <c r="C6" s="21" t="inlineStr">
        <is>
          <t>Divergente por valor</t>
        </is>
      </c>
      <c r="D6" s="23" t="n">
        <v>2421.35</v>
      </c>
      <c r="E6" s="23" t="n">
        <v>589.29</v>
      </c>
      <c r="F6" s="23" t="n">
        <v>1832.06</v>
      </c>
      <c r="G6" s="21" t="inlineStr">
        <is>
          <t>DIVERGENTE</t>
        </is>
      </c>
    </row>
    <row r="7">
      <c r="A7" s="24" t="inlineStr">
        <is>
          <t>CC-1008</t>
        </is>
      </c>
      <c r="B7" s="24" t="inlineStr">
        <is>
          <t>RH</t>
        </is>
      </c>
      <c r="C7" s="24" t="inlineStr">
        <is>
          <t>Divergente por valor</t>
        </is>
      </c>
      <c r="D7" s="26" t="n">
        <v>1091.59</v>
      </c>
      <c r="E7" s="26" t="n">
        <v>807.37</v>
      </c>
      <c r="F7" s="26" t="n">
        <v>284.22</v>
      </c>
      <c r="G7" s="24" t="inlineStr">
        <is>
          <t>DIVERGENTE</t>
        </is>
      </c>
    </row>
    <row r="8">
      <c r="A8" s="21" t="inlineStr">
        <is>
          <t>CC-1015</t>
        </is>
      </c>
      <c r="B8" s="21" t="inlineStr">
        <is>
          <t>MARKETING</t>
        </is>
      </c>
      <c r="C8" s="21" t="inlineStr">
        <is>
          <t>Divergente por valor</t>
        </is>
      </c>
      <c r="D8" s="23" t="n">
        <v>2909.37</v>
      </c>
      <c r="E8" s="23" t="n">
        <v>812.3200000000001</v>
      </c>
      <c r="F8" s="23" t="n">
        <v>2097.05</v>
      </c>
      <c r="G8" s="21" t="inlineStr">
        <is>
          <t>DIVERGENTE</t>
        </is>
      </c>
    </row>
    <row r="9">
      <c r="A9" s="24" t="inlineStr">
        <is>
          <t>CC-1015</t>
        </is>
      </c>
      <c r="B9" s="24" t="inlineStr">
        <is>
          <t>OPERACOES</t>
        </is>
      </c>
      <c r="C9" s="24" t="inlineStr">
        <is>
          <t>Divergente por valor</t>
        </is>
      </c>
      <c r="D9" s="26" t="n">
        <v>3340.3</v>
      </c>
      <c r="E9" s="26" t="n">
        <v>8257.940000000001</v>
      </c>
      <c r="F9" s="26" t="n">
        <v>-4917.64</v>
      </c>
      <c r="G9" s="24" t="inlineStr">
        <is>
          <t>DIVERGENTE</t>
        </is>
      </c>
    </row>
    <row r="10">
      <c r="A10" s="21" t="inlineStr">
        <is>
          <t>CC-1018</t>
        </is>
      </c>
      <c r="B10" s="21" t="inlineStr">
        <is>
          <t>ADM</t>
        </is>
      </c>
      <c r="C10" s="21" t="inlineStr">
        <is>
          <t>Divergente por valor</t>
        </is>
      </c>
      <c r="D10" s="23" t="n">
        <v>1953.75</v>
      </c>
      <c r="E10" s="23" t="n">
        <v>4440.74</v>
      </c>
      <c r="F10" s="23" t="n">
        <v>-2486.99</v>
      </c>
      <c r="G10" s="21" t="inlineStr">
        <is>
          <t>DIVERGENTE</t>
        </is>
      </c>
    </row>
    <row r="11">
      <c r="A11" s="24" t="inlineStr">
        <is>
          <t>CC-1021</t>
        </is>
      </c>
      <c r="B11" s="24" t="inlineStr">
        <is>
          <t>LOGISTICA</t>
        </is>
      </c>
      <c r="C11" s="24" t="inlineStr">
        <is>
          <t>Divergente por valor</t>
        </is>
      </c>
      <c r="D11" s="26" t="n">
        <v>1589.16</v>
      </c>
      <c r="E11" s="26" t="n">
        <v>2459.69</v>
      </c>
      <c r="F11" s="26" t="n">
        <v>-870.53</v>
      </c>
      <c r="G11" s="24" t="inlineStr">
        <is>
          <t>DIVERGENTE</t>
        </is>
      </c>
    </row>
    <row r="12">
      <c r="A12" s="21" t="inlineStr">
        <is>
          <t>CC-1022</t>
        </is>
      </c>
      <c r="B12" s="21" t="inlineStr">
        <is>
          <t>COMERCIAL</t>
        </is>
      </c>
      <c r="C12" s="21" t="inlineStr">
        <is>
          <t>Divergente por valor</t>
        </is>
      </c>
      <c r="D12" s="23" t="n">
        <v>909.21</v>
      </c>
      <c r="E12" s="23" t="n">
        <v>655.64</v>
      </c>
      <c r="F12" s="23" t="n">
        <v>253.57</v>
      </c>
      <c r="G12" s="21" t="inlineStr">
        <is>
          <t>DIVERGENTE</t>
        </is>
      </c>
    </row>
    <row r="13">
      <c r="A13" s="24" t="inlineStr">
        <is>
          <t>CC-1030</t>
        </is>
      </c>
      <c r="B13" s="24" t="inlineStr">
        <is>
          <t>COMERCIAL</t>
        </is>
      </c>
      <c r="C13" s="24" t="inlineStr">
        <is>
          <t>Divergente por valor</t>
        </is>
      </c>
      <c r="D13" s="26" t="n">
        <v>3592.81</v>
      </c>
      <c r="E13" s="26" t="n">
        <v>5973.15</v>
      </c>
      <c r="F13" s="26" t="n">
        <v>-2380.34</v>
      </c>
      <c r="G13" s="24" t="inlineStr">
        <is>
          <t>DIVERGENTE</t>
        </is>
      </c>
    </row>
    <row r="14">
      <c r="A14" s="21" t="inlineStr">
        <is>
          <t>CC-1001</t>
        </is>
      </c>
      <c r="B14" s="21" t="inlineStr">
        <is>
          <t>COMERCIAL</t>
        </is>
      </c>
      <c r="C14" s="21" t="inlineStr">
        <is>
          <t>Saiu do Razão</t>
        </is>
      </c>
      <c r="D14" s="23" t="n">
        <v>1122.56</v>
      </c>
      <c r="E14" s="23" t="n"/>
      <c r="F14" s="23" t="n"/>
      <c r="G14" s="21" t="inlineStr">
        <is>
          <t>SEM_VALOR_COMPARADO</t>
        </is>
      </c>
    </row>
    <row r="15">
      <c r="A15" s="24" t="inlineStr">
        <is>
          <t>CC-1001</t>
        </is>
      </c>
      <c r="B15" s="24" t="inlineStr">
        <is>
          <t>FINANCEIRO</t>
        </is>
      </c>
      <c r="C15" s="24" t="inlineStr">
        <is>
          <t>Saiu do Razão</t>
        </is>
      </c>
      <c r="D15" s="26" t="n">
        <v>1500.94</v>
      </c>
      <c r="E15" s="26" t="n"/>
      <c r="F15" s="26" t="n"/>
      <c r="G15" s="24" t="inlineStr">
        <is>
          <t>SEM_VALOR_COMPARADO</t>
        </is>
      </c>
    </row>
    <row r="16">
      <c r="A16" s="21" t="inlineStr">
        <is>
          <t>CC-1001</t>
        </is>
      </c>
      <c r="B16" s="21" t="inlineStr">
        <is>
          <t>TI</t>
        </is>
      </c>
      <c r="C16" s="21" t="inlineStr">
        <is>
          <t>Saiu do Razão</t>
        </is>
      </c>
      <c r="D16" s="23" t="n">
        <v>16491.18</v>
      </c>
      <c r="E16" s="23" t="n"/>
      <c r="F16" s="23" t="n"/>
      <c r="G16" s="21" t="inlineStr">
        <is>
          <t>SEM_VALOR_COMPARADO</t>
        </is>
      </c>
    </row>
    <row r="17">
      <c r="A17" s="24" t="inlineStr">
        <is>
          <t>CC-1002</t>
        </is>
      </c>
      <c r="B17" s="24" t="inlineStr">
        <is>
          <t>MARKETING</t>
        </is>
      </c>
      <c r="C17" s="24" t="inlineStr">
        <is>
          <t>Saiu do Razão</t>
        </is>
      </c>
      <c r="D17" s="26" t="n">
        <v>11973.51</v>
      </c>
      <c r="E17" s="26" t="n"/>
      <c r="F17" s="26" t="n"/>
      <c r="G17" s="24" t="inlineStr">
        <is>
          <t>SEM_VALOR_COMPARADO</t>
        </is>
      </c>
    </row>
    <row r="18">
      <c r="A18" s="21" t="inlineStr">
        <is>
          <t>CC-1003</t>
        </is>
      </c>
      <c r="B18" s="21" t="inlineStr">
        <is>
          <t>LOGISTICA</t>
        </is>
      </c>
      <c r="C18" s="21" t="inlineStr">
        <is>
          <t>Saiu do Razão</t>
        </is>
      </c>
      <c r="D18" s="23" t="n">
        <v>1167.58</v>
      </c>
      <c r="E18" s="23" t="n"/>
      <c r="F18" s="23" t="n"/>
      <c r="G18" s="21" t="inlineStr">
        <is>
          <t>SEM_VALOR_COMPARADO</t>
        </is>
      </c>
    </row>
    <row r="19">
      <c r="A19" s="24" t="inlineStr">
        <is>
          <t>CC-1005</t>
        </is>
      </c>
      <c r="B19" s="24" t="inlineStr">
        <is>
          <t>TI</t>
        </is>
      </c>
      <c r="C19" s="24" t="inlineStr">
        <is>
          <t>Saiu do Razão</t>
        </is>
      </c>
      <c r="D19" s="26" t="n">
        <v>814.4400000000001</v>
      </c>
      <c r="E19" s="26" t="n"/>
      <c r="F19" s="26" t="n"/>
      <c r="G19" s="24" t="inlineStr">
        <is>
          <t>SEM_VALOR_COMPARADO</t>
        </is>
      </c>
    </row>
    <row r="20">
      <c r="A20" s="21" t="inlineStr">
        <is>
          <t>CC-1006</t>
        </is>
      </c>
      <c r="B20" s="21" t="inlineStr">
        <is>
          <t>LOGISTICA</t>
        </is>
      </c>
      <c r="C20" s="21" t="inlineStr">
        <is>
          <t>Saiu do Razão</t>
        </is>
      </c>
      <c r="D20" s="23" t="n">
        <v>5284.63</v>
      </c>
      <c r="E20" s="23" t="n"/>
      <c r="F20" s="23" t="n"/>
      <c r="G20" s="21" t="inlineStr">
        <is>
          <t>SEM_VALOR_COMPARADO</t>
        </is>
      </c>
    </row>
    <row r="21">
      <c r="A21" s="24" t="inlineStr">
        <is>
          <t>CC-1006</t>
        </is>
      </c>
      <c r="B21" s="24" t="inlineStr">
        <is>
          <t>OPERACOES</t>
        </is>
      </c>
      <c r="C21" s="24" t="inlineStr">
        <is>
          <t>Saiu do Razão</t>
        </is>
      </c>
      <c r="D21" s="26" t="n">
        <v>706.21</v>
      </c>
      <c r="E21" s="26" t="n"/>
      <c r="F21" s="26" t="n"/>
      <c r="G21" s="24" t="inlineStr">
        <is>
          <t>SEM_VALOR_COMPARADO</t>
        </is>
      </c>
    </row>
    <row r="22">
      <c r="A22" s="21" t="inlineStr">
        <is>
          <t>CC-1007</t>
        </is>
      </c>
      <c r="B22" s="21" t="inlineStr">
        <is>
          <t>LOGISTICA</t>
        </is>
      </c>
      <c r="C22" s="21" t="inlineStr">
        <is>
          <t>Saiu do Razão</t>
        </is>
      </c>
      <c r="D22" s="23" t="n">
        <v>647.66</v>
      </c>
      <c r="E22" s="23" t="n"/>
      <c r="F22" s="23" t="n"/>
      <c r="G22" s="21" t="inlineStr">
        <is>
          <t>SEM_VALOR_COMPARADO</t>
        </is>
      </c>
    </row>
    <row r="23">
      <c r="A23" s="24" t="inlineStr">
        <is>
          <t>CC-1008</t>
        </is>
      </c>
      <c r="B23" s="24" t="inlineStr">
        <is>
          <t>ADM</t>
        </is>
      </c>
      <c r="C23" s="24" t="inlineStr">
        <is>
          <t>Saiu do Razão</t>
        </is>
      </c>
      <c r="D23" s="26" t="n">
        <v>1823.75</v>
      </c>
      <c r="E23" s="26" t="n"/>
      <c r="F23" s="26" t="n"/>
      <c r="G23" s="24" t="inlineStr">
        <is>
          <t>SEM_VALOR_COMPARADO</t>
        </is>
      </c>
    </row>
    <row r="24">
      <c r="A24" s="21" t="inlineStr">
        <is>
          <t>CC-1008</t>
        </is>
      </c>
      <c r="B24" s="21" t="inlineStr">
        <is>
          <t>TI</t>
        </is>
      </c>
      <c r="C24" s="21" t="inlineStr">
        <is>
          <t>Saiu do Razão</t>
        </is>
      </c>
      <c r="D24" s="23" t="n">
        <v>547.4</v>
      </c>
      <c r="E24" s="23" t="n"/>
      <c r="F24" s="23" t="n"/>
      <c r="G24" s="21" t="inlineStr">
        <is>
          <t>SEM_VALOR_COMPARADO</t>
        </is>
      </c>
    </row>
    <row r="25">
      <c r="A25" s="24" t="inlineStr">
        <is>
          <t>CC-1009</t>
        </is>
      </c>
      <c r="B25" s="24" t="inlineStr">
        <is>
          <t>FINANCEIRO</t>
        </is>
      </c>
      <c r="C25" s="24" t="inlineStr">
        <is>
          <t>Saiu do Razão</t>
        </is>
      </c>
      <c r="D25" s="26" t="n">
        <v>1202.88</v>
      </c>
      <c r="E25" s="26" t="n"/>
      <c r="F25" s="26" t="n"/>
      <c r="G25" s="24" t="inlineStr">
        <is>
          <t>SEM_VALOR_COMPARADO</t>
        </is>
      </c>
    </row>
    <row r="26">
      <c r="A26" s="21" t="inlineStr">
        <is>
          <t>CC-1009</t>
        </is>
      </c>
      <c r="B26" s="21" t="inlineStr">
        <is>
          <t>RH</t>
        </is>
      </c>
      <c r="C26" s="21" t="inlineStr">
        <is>
          <t>Saiu do Razão</t>
        </is>
      </c>
      <c r="D26" s="23" t="n">
        <v>9340.950000000001</v>
      </c>
      <c r="E26" s="23" t="n"/>
      <c r="F26" s="23" t="n"/>
      <c r="G26" s="21" t="inlineStr">
        <is>
          <t>SEM_VALOR_COMPARADO</t>
        </is>
      </c>
    </row>
    <row r="27">
      <c r="A27" s="24" t="inlineStr">
        <is>
          <t>CC-1011</t>
        </is>
      </c>
      <c r="B27" s="24" t="inlineStr">
        <is>
          <t>COMERCIAL</t>
        </is>
      </c>
      <c r="C27" s="24" t="inlineStr">
        <is>
          <t>Saiu do Razão</t>
        </is>
      </c>
      <c r="D27" s="26" t="n">
        <v>2059.96</v>
      </c>
      <c r="E27" s="26" t="n"/>
      <c r="F27" s="26" t="n"/>
      <c r="G27" s="24" t="inlineStr">
        <is>
          <t>SEM_VALOR_COMPARADO</t>
        </is>
      </c>
    </row>
    <row r="28">
      <c r="A28" s="21" t="inlineStr">
        <is>
          <t>CC-1011</t>
        </is>
      </c>
      <c r="B28" s="21" t="inlineStr">
        <is>
          <t>MARKETING</t>
        </is>
      </c>
      <c r="C28" s="21" t="inlineStr">
        <is>
          <t>Saiu do Razão</t>
        </is>
      </c>
      <c r="D28" s="23" t="n">
        <v>3267.96</v>
      </c>
      <c r="E28" s="23" t="n"/>
      <c r="F28" s="23" t="n"/>
      <c r="G28" s="21" t="inlineStr">
        <is>
          <t>SEM_VALOR_COMPARADO</t>
        </is>
      </c>
    </row>
    <row r="29">
      <c r="A29" s="24" t="inlineStr">
        <is>
          <t>CC-1012</t>
        </is>
      </c>
      <c r="B29" s="24" t="inlineStr">
        <is>
          <t>ADM</t>
        </is>
      </c>
      <c r="C29" s="24" t="inlineStr">
        <is>
          <t>Saiu do Razão</t>
        </is>
      </c>
      <c r="D29" s="26" t="n">
        <v>914.83</v>
      </c>
      <c r="E29" s="26" t="n"/>
      <c r="F29" s="26" t="n"/>
      <c r="G29" s="24" t="inlineStr">
        <is>
          <t>SEM_VALOR_COMPARADO</t>
        </is>
      </c>
    </row>
    <row r="30">
      <c r="A30" s="21" t="inlineStr">
        <is>
          <t>CC-1013</t>
        </is>
      </c>
      <c r="B30" s="21" t="inlineStr">
        <is>
          <t>FINANCEIRO</t>
        </is>
      </c>
      <c r="C30" s="21" t="inlineStr">
        <is>
          <t>Saiu do Razão</t>
        </is>
      </c>
      <c r="D30" s="23" t="n">
        <v>2384.65</v>
      </c>
      <c r="E30" s="23" t="n"/>
      <c r="F30" s="23" t="n"/>
      <c r="G30" s="21" t="inlineStr">
        <is>
          <t>SEM_VALOR_COMPARADO</t>
        </is>
      </c>
    </row>
    <row r="31">
      <c r="A31" s="24" t="inlineStr">
        <is>
          <t>CC-1014</t>
        </is>
      </c>
      <c r="B31" s="24" t="inlineStr">
        <is>
          <t>LOGISTICA</t>
        </is>
      </c>
      <c r="C31" s="24" t="inlineStr">
        <is>
          <t>Saiu do Razão</t>
        </is>
      </c>
      <c r="D31" s="26" t="n">
        <v>310.33</v>
      </c>
      <c r="E31" s="26" t="n"/>
      <c r="F31" s="26" t="n"/>
      <c r="G31" s="24" t="inlineStr">
        <is>
          <t>SEM_VALOR_COMPARADO</t>
        </is>
      </c>
    </row>
    <row r="32">
      <c r="A32" s="21" t="inlineStr">
        <is>
          <t>CC-1015</t>
        </is>
      </c>
      <c r="B32" s="21" t="inlineStr">
        <is>
          <t>FINANCEIRO</t>
        </is>
      </c>
      <c r="C32" s="21" t="inlineStr">
        <is>
          <t>Saiu do Razão</t>
        </is>
      </c>
      <c r="D32" s="23" t="n">
        <v>1324.07</v>
      </c>
      <c r="E32" s="23" t="n"/>
      <c r="F32" s="23" t="n"/>
      <c r="G32" s="21" t="inlineStr">
        <is>
          <t>SEM_VALOR_COMPARADO</t>
        </is>
      </c>
    </row>
    <row r="33">
      <c r="A33" s="24" t="inlineStr">
        <is>
          <t>CC-1016</t>
        </is>
      </c>
      <c r="B33" s="24" t="inlineStr">
        <is>
          <t>OPERACOES</t>
        </is>
      </c>
      <c r="C33" s="24" t="inlineStr">
        <is>
          <t>Saiu do Razão</t>
        </is>
      </c>
      <c r="D33" s="26" t="n">
        <v>602.89</v>
      </c>
      <c r="E33" s="26" t="n"/>
      <c r="F33" s="26" t="n"/>
      <c r="G33" s="24" t="inlineStr">
        <is>
          <t>SEM_VALOR_COMPARADO</t>
        </is>
      </c>
    </row>
    <row r="34">
      <c r="A34" s="21" t="inlineStr">
        <is>
          <t>CC-1016</t>
        </is>
      </c>
      <c r="B34" s="21" t="inlineStr">
        <is>
          <t>TI</t>
        </is>
      </c>
      <c r="C34" s="21" t="inlineStr">
        <is>
          <t>Saiu do Razão</t>
        </is>
      </c>
      <c r="D34" s="23" t="n"/>
      <c r="E34" s="23" t="n"/>
      <c r="F34" s="23" t="n"/>
      <c r="G34" s="21" t="inlineStr">
        <is>
          <t>SEM_VALOR_AMBOS</t>
        </is>
      </c>
    </row>
    <row r="35">
      <c r="A35" s="24" t="inlineStr">
        <is>
          <t>CC-1017</t>
        </is>
      </c>
      <c r="B35" s="24" t="inlineStr">
        <is>
          <t>OPERACOES</t>
        </is>
      </c>
      <c r="C35" s="24" t="inlineStr">
        <is>
          <t>Saiu do Razão</t>
        </is>
      </c>
      <c r="D35" s="26" t="n">
        <v>1327.4</v>
      </c>
      <c r="E35" s="26" t="n"/>
      <c r="F35" s="26" t="n"/>
      <c r="G35" s="24" t="inlineStr">
        <is>
          <t>SEM_VALOR_COMPARADO</t>
        </is>
      </c>
    </row>
    <row r="36">
      <c r="A36" s="21" t="inlineStr">
        <is>
          <t>CC-1020</t>
        </is>
      </c>
      <c r="B36" s="21" t="inlineStr">
        <is>
          <t>OPERACOES</t>
        </is>
      </c>
      <c r="C36" s="21" t="inlineStr">
        <is>
          <t>Saiu do Razão</t>
        </is>
      </c>
      <c r="D36" s="23" t="n">
        <v>2525.01</v>
      </c>
      <c r="E36" s="23" t="n"/>
      <c r="F36" s="23" t="n"/>
      <c r="G36" s="21" t="inlineStr">
        <is>
          <t>SEM_VALOR_COMPARADO</t>
        </is>
      </c>
    </row>
    <row r="37">
      <c r="A37" s="24" t="inlineStr">
        <is>
          <t>CC-1022</t>
        </is>
      </c>
      <c r="B37" s="24" t="inlineStr">
        <is>
          <t>LOGISTICA</t>
        </is>
      </c>
      <c r="C37" s="24" t="inlineStr">
        <is>
          <t>Saiu do Razão</t>
        </is>
      </c>
      <c r="D37" s="26" t="n">
        <v>1615.15</v>
      </c>
      <c r="E37" s="26" t="n"/>
      <c r="F37" s="26" t="n"/>
      <c r="G37" s="24" t="inlineStr">
        <is>
          <t>SEM_VALOR_COMPARADO</t>
        </is>
      </c>
    </row>
    <row r="38">
      <c r="A38" s="21" t="inlineStr">
        <is>
          <t>CC-1022</t>
        </is>
      </c>
      <c r="B38" s="21" t="inlineStr">
        <is>
          <t>TI</t>
        </is>
      </c>
      <c r="C38" s="21" t="inlineStr">
        <is>
          <t>Saiu do Razão</t>
        </is>
      </c>
      <c r="D38" s="23" t="n">
        <v>10067.85</v>
      </c>
      <c r="E38" s="23" t="n"/>
      <c r="F38" s="23" t="n"/>
      <c r="G38" s="21" t="inlineStr">
        <is>
          <t>SEM_VALOR_COMPARADO</t>
        </is>
      </c>
    </row>
    <row r="39">
      <c r="A39" s="24" t="inlineStr">
        <is>
          <t>CC-1024</t>
        </is>
      </c>
      <c r="B39" s="24" t="inlineStr">
        <is>
          <t>LOGISTICA</t>
        </is>
      </c>
      <c r="C39" s="24" t="inlineStr">
        <is>
          <t>Saiu do Razão</t>
        </is>
      </c>
      <c r="D39" s="26" t="n">
        <v>3863.94</v>
      </c>
      <c r="E39" s="26" t="n"/>
      <c r="F39" s="26" t="n"/>
      <c r="G39" s="24" t="inlineStr">
        <is>
          <t>SEM_VALOR_COMPARADO</t>
        </is>
      </c>
    </row>
    <row r="40">
      <c r="A40" s="21" t="inlineStr">
        <is>
          <t>CC-1024</t>
        </is>
      </c>
      <c r="B40" s="21" t="inlineStr">
        <is>
          <t>MARKETING</t>
        </is>
      </c>
      <c r="C40" s="21" t="inlineStr">
        <is>
          <t>Saiu do Razão</t>
        </is>
      </c>
      <c r="D40" s="23" t="n">
        <v>7107.99</v>
      </c>
      <c r="E40" s="23" t="n"/>
      <c r="F40" s="23" t="n"/>
      <c r="G40" s="21" t="inlineStr">
        <is>
          <t>SEM_VALOR_COMPARADO</t>
        </is>
      </c>
    </row>
    <row r="41">
      <c r="A41" s="24" t="inlineStr">
        <is>
          <t>CC-1025</t>
        </is>
      </c>
      <c r="B41" s="24" t="inlineStr">
        <is>
          <t>ADM</t>
        </is>
      </c>
      <c r="C41" s="24" t="inlineStr">
        <is>
          <t>Saiu do Razão</t>
        </is>
      </c>
      <c r="D41" s="26" t="n">
        <v>5794.11</v>
      </c>
      <c r="E41" s="26" t="n"/>
      <c r="F41" s="26" t="n"/>
      <c r="G41" s="24" t="inlineStr">
        <is>
          <t>SEM_VALOR_COMPARADO</t>
        </is>
      </c>
    </row>
    <row r="42">
      <c r="A42" s="21" t="inlineStr">
        <is>
          <t>CC-1026</t>
        </is>
      </c>
      <c r="B42" s="21" t="inlineStr">
        <is>
          <t>COMERCIAL</t>
        </is>
      </c>
      <c r="C42" s="21" t="inlineStr">
        <is>
          <t>Saiu do Razão</t>
        </is>
      </c>
      <c r="D42" s="23" t="n">
        <v>4462.42</v>
      </c>
      <c r="E42" s="23" t="n"/>
      <c r="F42" s="23" t="n"/>
      <c r="G42" s="21" t="inlineStr">
        <is>
          <t>SEM_VALOR_COMPARADO</t>
        </is>
      </c>
    </row>
    <row r="43">
      <c r="A43" s="24" t="inlineStr">
        <is>
          <t>CC-1026</t>
        </is>
      </c>
      <c r="B43" s="24" t="inlineStr">
        <is>
          <t>LOGISTICA</t>
        </is>
      </c>
      <c r="C43" s="24" t="inlineStr">
        <is>
          <t>Saiu do Razão</t>
        </is>
      </c>
      <c r="D43" s="26" t="n">
        <v>948.96</v>
      </c>
      <c r="E43" s="26" t="n"/>
      <c r="F43" s="26" t="n"/>
      <c r="G43" s="24" t="inlineStr">
        <is>
          <t>SEM_VALOR_COMPARADO</t>
        </is>
      </c>
    </row>
    <row r="44">
      <c r="A44" s="21" t="inlineStr">
        <is>
          <t>CC-1027</t>
        </is>
      </c>
      <c r="B44" s="21" t="inlineStr">
        <is>
          <t>FINANCEIRO</t>
        </is>
      </c>
      <c r="C44" s="21" t="inlineStr">
        <is>
          <t>Saiu do Razão</t>
        </is>
      </c>
      <c r="D44" s="23" t="n">
        <v>5162.28</v>
      </c>
      <c r="E44" s="23" t="n"/>
      <c r="F44" s="23" t="n"/>
      <c r="G44" s="21" t="inlineStr">
        <is>
          <t>SEM_VALOR_COMPARADO</t>
        </is>
      </c>
    </row>
    <row r="45">
      <c r="A45" s="24" t="inlineStr">
        <is>
          <t>CC-1027</t>
        </is>
      </c>
      <c r="B45" s="24" t="inlineStr">
        <is>
          <t>RH</t>
        </is>
      </c>
      <c r="C45" s="24" t="inlineStr">
        <is>
          <t>Saiu do Razão</t>
        </is>
      </c>
      <c r="D45" s="26" t="n">
        <v>642.03</v>
      </c>
      <c r="E45" s="26" t="n"/>
      <c r="F45" s="26" t="n"/>
      <c r="G45" s="24" t="inlineStr">
        <is>
          <t>SEM_VALOR_COMPARADO</t>
        </is>
      </c>
    </row>
    <row r="46">
      <c r="A46" s="21" t="inlineStr">
        <is>
          <t>CC-1028</t>
        </is>
      </c>
      <c r="B46" s="21" t="inlineStr">
        <is>
          <t>TI</t>
        </is>
      </c>
      <c r="C46" s="21" t="inlineStr">
        <is>
          <t>Saiu do Razão</t>
        </is>
      </c>
      <c r="D46" s="23" t="n">
        <v>5865.29</v>
      </c>
      <c r="E46" s="23" t="n"/>
      <c r="F46" s="23" t="n"/>
      <c r="G46" s="21" t="inlineStr">
        <is>
          <t>SEM_VALOR_COMPARADO</t>
        </is>
      </c>
    </row>
    <row r="47">
      <c r="A47" s="24" t="inlineStr">
        <is>
          <t>CC-1029</t>
        </is>
      </c>
      <c r="B47" s="24" t="inlineStr">
        <is>
          <t>ADM</t>
        </is>
      </c>
      <c r="C47" s="24" t="inlineStr">
        <is>
          <t>Saiu do Razão</t>
        </is>
      </c>
      <c r="D47" s="26" t="n">
        <v>4973.15</v>
      </c>
      <c r="E47" s="26" t="n"/>
      <c r="F47" s="26" t="n"/>
      <c r="G47" s="24" t="inlineStr">
        <is>
          <t>SEM_VALOR_COMPARADO</t>
        </is>
      </c>
    </row>
    <row r="48">
      <c r="A48" s="21" t="inlineStr">
        <is>
          <t>CC-1029</t>
        </is>
      </c>
      <c r="B48" s="21" t="inlineStr">
        <is>
          <t>LOGISTICA</t>
        </is>
      </c>
      <c r="C48" s="21" t="inlineStr">
        <is>
          <t>Saiu do Razão</t>
        </is>
      </c>
      <c r="D48" s="23" t="n">
        <v>1213.26</v>
      </c>
      <c r="E48" s="23" t="n"/>
      <c r="F48" s="23" t="n"/>
      <c r="G48" s="21" t="inlineStr">
        <is>
          <t>SEM_VALOR_COMPARADO</t>
        </is>
      </c>
    </row>
    <row r="49">
      <c r="A49" s="24" t="inlineStr">
        <is>
          <t>CC-1030</t>
        </is>
      </c>
      <c r="B49" s="24" t="inlineStr">
        <is>
          <t>OPERACOES</t>
        </is>
      </c>
      <c r="C49" s="24" t="inlineStr">
        <is>
          <t>Saiu do Razão</t>
        </is>
      </c>
      <c r="D49" s="26" t="n">
        <v>1828.06</v>
      </c>
      <c r="E49" s="26" t="n"/>
      <c r="F49" s="26" t="n"/>
      <c r="G49" s="24" t="inlineStr">
        <is>
          <t>SEM_VALOR_COMPARADO</t>
        </is>
      </c>
    </row>
    <row r="50">
      <c r="A50" s="21" t="inlineStr">
        <is>
          <t>CC-1002</t>
        </is>
      </c>
      <c r="B50" s="21" t="inlineStr">
        <is>
          <t>FINANCEIRO</t>
        </is>
      </c>
      <c r="C50" s="21" t="inlineStr">
        <is>
          <t>Apareceu no Balancete</t>
        </is>
      </c>
      <c r="D50" s="23" t="n"/>
      <c r="E50" s="23" t="n">
        <v>477.92</v>
      </c>
      <c r="F50" s="23" t="n"/>
      <c r="G50" s="21" t="inlineStr">
        <is>
          <t>SEM_VALOR_ORIGEM</t>
        </is>
      </c>
    </row>
    <row r="51">
      <c r="A51" s="24" t="inlineStr">
        <is>
          <t>CC-1002</t>
        </is>
      </c>
      <c r="B51" s="24" t="inlineStr">
        <is>
          <t>RH</t>
        </is>
      </c>
      <c r="C51" s="24" t="inlineStr">
        <is>
          <t>Apareceu no Balancete</t>
        </is>
      </c>
      <c r="D51" s="26" t="n"/>
      <c r="E51" s="26" t="n">
        <v>4390.47</v>
      </c>
      <c r="F51" s="26" t="n"/>
      <c r="G51" s="24" t="inlineStr">
        <is>
          <t>SEM_VALOR_ORIGEM</t>
        </is>
      </c>
    </row>
    <row r="52">
      <c r="A52" s="21" t="inlineStr">
        <is>
          <t>CC-1003</t>
        </is>
      </c>
      <c r="B52" s="21" t="inlineStr">
        <is>
          <t>ADM</t>
        </is>
      </c>
      <c r="C52" s="21" t="inlineStr">
        <is>
          <t>Apareceu no Balancete</t>
        </is>
      </c>
      <c r="D52" s="23" t="n"/>
      <c r="E52" s="23" t="n">
        <v>1577.03</v>
      </c>
      <c r="F52" s="23" t="n"/>
      <c r="G52" s="21" t="inlineStr">
        <is>
          <t>SEM_VALOR_ORIGEM</t>
        </is>
      </c>
    </row>
    <row r="53">
      <c r="A53" s="24" t="inlineStr">
        <is>
          <t>CC-1004</t>
        </is>
      </c>
      <c r="B53" s="24" t="inlineStr">
        <is>
          <t>LOGISTICA</t>
        </is>
      </c>
      <c r="C53" s="24" t="inlineStr">
        <is>
          <t>Apareceu no Balancete</t>
        </is>
      </c>
      <c r="D53" s="26" t="n"/>
      <c r="E53" s="26" t="n">
        <v>2967.48</v>
      </c>
      <c r="F53" s="26" t="n"/>
      <c r="G53" s="24" t="inlineStr">
        <is>
          <t>SEM_VALOR_ORIGEM</t>
        </is>
      </c>
    </row>
    <row r="54">
      <c r="A54" s="21" t="inlineStr">
        <is>
          <t>CC-1004</t>
        </is>
      </c>
      <c r="B54" s="21" t="inlineStr">
        <is>
          <t>OPERACOES</t>
        </is>
      </c>
      <c r="C54" s="21" t="inlineStr">
        <is>
          <t>Apareceu no Balancete</t>
        </is>
      </c>
      <c r="D54" s="23" t="n"/>
      <c r="E54" s="23" t="n">
        <v>4491.87</v>
      </c>
      <c r="F54" s="23" t="n"/>
      <c r="G54" s="21" t="inlineStr">
        <is>
          <t>SEM_VALOR_ORIGEM</t>
        </is>
      </c>
    </row>
    <row r="55">
      <c r="A55" s="24" t="inlineStr">
        <is>
          <t>CC-1004</t>
        </is>
      </c>
      <c r="B55" s="24" t="inlineStr">
        <is>
          <t>TI</t>
        </is>
      </c>
      <c r="C55" s="24" t="inlineStr">
        <is>
          <t>Apareceu no Balancete</t>
        </is>
      </c>
      <c r="D55" s="26" t="n"/>
      <c r="E55" s="26" t="n">
        <v>1023.09</v>
      </c>
      <c r="F55" s="26" t="n"/>
      <c r="G55" s="24" t="inlineStr">
        <is>
          <t>SEM_VALOR_ORIGEM</t>
        </is>
      </c>
    </row>
    <row r="56">
      <c r="A56" s="21" t="inlineStr">
        <is>
          <t>CC-1006</t>
        </is>
      </c>
      <c r="B56" s="21" t="inlineStr">
        <is>
          <t>ADM</t>
        </is>
      </c>
      <c r="C56" s="21" t="inlineStr">
        <is>
          <t>Apareceu no Balancete</t>
        </is>
      </c>
      <c r="D56" s="23" t="n"/>
      <c r="E56" s="23" t="n">
        <v>274.43</v>
      </c>
      <c r="F56" s="23" t="n"/>
      <c r="G56" s="21" t="inlineStr">
        <is>
          <t>SEM_VALOR_ORIGEM</t>
        </is>
      </c>
    </row>
    <row r="57">
      <c r="A57" s="24" t="inlineStr">
        <is>
          <t>CC-1006</t>
        </is>
      </c>
      <c r="B57" s="24" t="inlineStr">
        <is>
          <t>COMERCIAL</t>
        </is>
      </c>
      <c r="C57" s="24" t="inlineStr">
        <is>
          <t>Apareceu no Balancete</t>
        </is>
      </c>
      <c r="D57" s="26" t="n"/>
      <c r="E57" s="26" t="n">
        <v>1052.15</v>
      </c>
      <c r="F57" s="26" t="n"/>
      <c r="G57" s="24" t="inlineStr">
        <is>
          <t>SEM_VALOR_ORIGEM</t>
        </is>
      </c>
    </row>
    <row r="58">
      <c r="A58" s="21" t="inlineStr">
        <is>
          <t>CC-1007</t>
        </is>
      </c>
      <c r="B58" s="21" t="inlineStr">
        <is>
          <t>MARKETING</t>
        </is>
      </c>
      <c r="C58" s="21" t="inlineStr">
        <is>
          <t>Apareceu no Balancete</t>
        </is>
      </c>
      <c r="D58" s="23" t="n"/>
      <c r="E58" s="23" t="n">
        <v>2117.85</v>
      </c>
      <c r="F58" s="23" t="n"/>
      <c r="G58" s="21" t="inlineStr">
        <is>
          <t>SEM_VALOR_ORIGEM</t>
        </is>
      </c>
    </row>
    <row r="59">
      <c r="A59" s="24" t="inlineStr">
        <is>
          <t>CC-1008</t>
        </is>
      </c>
      <c r="B59" s="24" t="inlineStr">
        <is>
          <t>COMERCIAL</t>
        </is>
      </c>
      <c r="C59" s="24" t="inlineStr">
        <is>
          <t>Apareceu no Balancete</t>
        </is>
      </c>
      <c r="D59" s="26" t="n"/>
      <c r="E59" s="26" t="n">
        <v>1924.07</v>
      </c>
      <c r="F59" s="26" t="n"/>
      <c r="G59" s="24" t="inlineStr">
        <is>
          <t>SEM_VALOR_ORIGEM</t>
        </is>
      </c>
    </row>
    <row r="60">
      <c r="A60" s="21" t="inlineStr">
        <is>
          <t>CC-1008</t>
        </is>
      </c>
      <c r="B60" s="21" t="inlineStr">
        <is>
          <t>OPERACOES</t>
        </is>
      </c>
      <c r="C60" s="21" t="inlineStr">
        <is>
          <t>Apareceu no Balancete</t>
        </is>
      </c>
      <c r="D60" s="23" t="n"/>
      <c r="E60" s="23" t="n">
        <v>965.9400000000001</v>
      </c>
      <c r="F60" s="23" t="n"/>
      <c r="G60" s="21" t="inlineStr">
        <is>
          <t>SEM_VALOR_ORIGEM</t>
        </is>
      </c>
    </row>
    <row r="61">
      <c r="A61" s="24" t="inlineStr">
        <is>
          <t>CC-1009</t>
        </is>
      </c>
      <c r="B61" s="24" t="inlineStr">
        <is>
          <t>COMERCIAL</t>
        </is>
      </c>
      <c r="C61" s="24" t="inlineStr">
        <is>
          <t>Apareceu no Balancete</t>
        </is>
      </c>
      <c r="D61" s="26" t="n"/>
      <c r="E61" s="26" t="n">
        <v>646.38</v>
      </c>
      <c r="F61" s="26" t="n"/>
      <c r="G61" s="24" t="inlineStr">
        <is>
          <t>SEM_VALOR_ORIGEM</t>
        </is>
      </c>
    </row>
    <row r="62">
      <c r="A62" s="21" t="inlineStr">
        <is>
          <t>CC-1009</t>
        </is>
      </c>
      <c r="B62" s="21" t="inlineStr">
        <is>
          <t>LOGISTICA</t>
        </is>
      </c>
      <c r="C62" s="21" t="inlineStr">
        <is>
          <t>Apareceu no Balancete</t>
        </is>
      </c>
      <c r="D62" s="23" t="n"/>
      <c r="E62" s="23" t="n">
        <v>672.53</v>
      </c>
      <c r="F62" s="23" t="n"/>
      <c r="G62" s="21" t="inlineStr">
        <is>
          <t>SEM_VALOR_ORIGEM</t>
        </is>
      </c>
    </row>
    <row r="63">
      <c r="A63" s="24" t="inlineStr">
        <is>
          <t>CC-1009</t>
        </is>
      </c>
      <c r="B63" s="24" t="inlineStr">
        <is>
          <t>OPERACOES</t>
        </is>
      </c>
      <c r="C63" s="24" t="inlineStr">
        <is>
          <t>Apareceu no Balancete</t>
        </is>
      </c>
      <c r="D63" s="26" t="n"/>
      <c r="E63" s="26" t="n">
        <v>68741.95</v>
      </c>
      <c r="F63" s="26" t="n"/>
      <c r="G63" s="24" t="inlineStr">
        <is>
          <t>SEM_VALOR_ORIGEM</t>
        </is>
      </c>
    </row>
    <row r="64">
      <c r="A64" s="21" t="inlineStr">
        <is>
          <t>CC-1009</t>
        </is>
      </c>
      <c r="B64" s="21" t="inlineStr">
        <is>
          <t>TI</t>
        </is>
      </c>
      <c r="C64" s="21" t="inlineStr">
        <is>
          <t>Apareceu no Balancete</t>
        </is>
      </c>
      <c r="D64" s="23" t="n"/>
      <c r="E64" s="23" t="n">
        <v>855.49</v>
      </c>
      <c r="F64" s="23" t="n"/>
      <c r="G64" s="21" t="inlineStr">
        <is>
          <t>SEM_VALOR_ORIGEM</t>
        </is>
      </c>
    </row>
    <row r="65">
      <c r="A65" s="24" t="inlineStr">
        <is>
          <t>CC-1010</t>
        </is>
      </c>
      <c r="B65" s="24" t="inlineStr">
        <is>
          <t>COMERCIAL</t>
        </is>
      </c>
      <c r="C65" s="24" t="inlineStr">
        <is>
          <t>Apareceu no Balancete</t>
        </is>
      </c>
      <c r="D65" s="26" t="n"/>
      <c r="E65" s="26" t="n">
        <v>822.39</v>
      </c>
      <c r="F65" s="26" t="n"/>
      <c r="G65" s="24" t="inlineStr">
        <is>
          <t>SEM_VALOR_ORIGEM</t>
        </is>
      </c>
    </row>
    <row r="66">
      <c r="A66" s="21" t="inlineStr">
        <is>
          <t>CC-1012</t>
        </is>
      </c>
      <c r="B66" s="21" t="inlineStr">
        <is>
          <t>LOGISTICA</t>
        </is>
      </c>
      <c r="C66" s="21" t="inlineStr">
        <is>
          <t>Apareceu no Balancete</t>
        </is>
      </c>
      <c r="D66" s="23" t="n"/>
      <c r="E66" s="23" t="n">
        <v>4126.49</v>
      </c>
      <c r="F66" s="23" t="n"/>
      <c r="G66" s="21" t="inlineStr">
        <is>
          <t>SEM_VALOR_ORIGEM</t>
        </is>
      </c>
    </row>
    <row r="67">
      <c r="A67" s="24" t="inlineStr">
        <is>
          <t>CC-1014</t>
        </is>
      </c>
      <c r="B67" s="24" t="inlineStr">
        <is>
          <t>ADM</t>
        </is>
      </c>
      <c r="C67" s="24" t="inlineStr">
        <is>
          <t>Apareceu no Balancete</t>
        </is>
      </c>
      <c r="D67" s="26" t="n"/>
      <c r="E67" s="26" t="n">
        <v>2501.34</v>
      </c>
      <c r="F67" s="26" t="n"/>
      <c r="G67" s="24" t="inlineStr">
        <is>
          <t>SEM_VALOR_ORIGEM</t>
        </is>
      </c>
    </row>
    <row r="68">
      <c r="A68" s="21" t="inlineStr">
        <is>
          <t>CC-1014</t>
        </is>
      </c>
      <c r="B68" s="21" t="inlineStr">
        <is>
          <t>RH</t>
        </is>
      </c>
      <c r="C68" s="21" t="inlineStr">
        <is>
          <t>Apareceu no Balancete</t>
        </is>
      </c>
      <c r="D68" s="23" t="n"/>
      <c r="E68" s="23" t="n">
        <v>3445.83</v>
      </c>
      <c r="F68" s="23" t="n"/>
      <c r="G68" s="21" t="inlineStr">
        <is>
          <t>SEM_VALOR_ORIGEM</t>
        </is>
      </c>
    </row>
    <row r="69">
      <c r="A69" s="24" t="inlineStr">
        <is>
          <t>CC-1015</t>
        </is>
      </c>
      <c r="B69" s="24" t="inlineStr">
        <is>
          <t>ADM</t>
        </is>
      </c>
      <c r="C69" s="24" t="inlineStr">
        <is>
          <t>Apareceu no Balancete</t>
        </is>
      </c>
      <c r="D69" s="26" t="n"/>
      <c r="E69" s="26" t="n">
        <v>1027.63</v>
      </c>
      <c r="F69" s="26" t="n"/>
      <c r="G69" s="24" t="inlineStr">
        <is>
          <t>SEM_VALOR_ORIGEM</t>
        </is>
      </c>
    </row>
    <row r="70">
      <c r="A70" s="21" t="inlineStr">
        <is>
          <t>CC-1015</t>
        </is>
      </c>
      <c r="B70" s="21" t="inlineStr">
        <is>
          <t>LOGISTICA</t>
        </is>
      </c>
      <c r="C70" s="21" t="inlineStr">
        <is>
          <t>Apareceu no Balancete</t>
        </is>
      </c>
      <c r="D70" s="23" t="n"/>
      <c r="E70" s="23" t="n">
        <v>1650.9</v>
      </c>
      <c r="F70" s="23" t="n"/>
      <c r="G70" s="21" t="inlineStr">
        <is>
          <t>SEM_VALOR_ORIGEM</t>
        </is>
      </c>
    </row>
    <row r="71">
      <c r="A71" s="24" t="inlineStr">
        <is>
          <t>CC-1015</t>
        </is>
      </c>
      <c r="B71" s="24" t="inlineStr">
        <is>
          <t>RH</t>
        </is>
      </c>
      <c r="C71" s="24" t="inlineStr">
        <is>
          <t>Apareceu no Balancete</t>
        </is>
      </c>
      <c r="D71" s="26" t="n"/>
      <c r="E71" s="26" t="n">
        <v>6394.37</v>
      </c>
      <c r="F71" s="26" t="n"/>
      <c r="G71" s="24" t="inlineStr">
        <is>
          <t>SEM_VALOR_ORIGEM</t>
        </is>
      </c>
    </row>
    <row r="72">
      <c r="A72" s="21" t="inlineStr">
        <is>
          <t>CC-1017</t>
        </is>
      </c>
      <c r="B72" s="21" t="inlineStr">
        <is>
          <t>LOGISTICA</t>
        </is>
      </c>
      <c r="C72" s="21" t="inlineStr">
        <is>
          <t>Apareceu no Balancete</t>
        </is>
      </c>
      <c r="D72" s="23" t="n"/>
      <c r="E72" s="23" t="n">
        <v>610.0599999999999</v>
      </c>
      <c r="F72" s="23" t="n"/>
      <c r="G72" s="21" t="inlineStr">
        <is>
          <t>SEM_VALOR_ORIGEM</t>
        </is>
      </c>
    </row>
    <row r="73">
      <c r="A73" s="24" t="inlineStr">
        <is>
          <t>CC-1018</t>
        </is>
      </c>
      <c r="B73" s="24" t="inlineStr">
        <is>
          <t>MARKETING</t>
        </is>
      </c>
      <c r="C73" s="24" t="inlineStr">
        <is>
          <t>Apareceu no Balancete</t>
        </is>
      </c>
      <c r="D73" s="26" t="n"/>
      <c r="E73" s="26" t="n">
        <v>3526.07</v>
      </c>
      <c r="F73" s="26" t="n"/>
      <c r="G73" s="24" t="inlineStr">
        <is>
          <t>SEM_VALOR_ORIGEM</t>
        </is>
      </c>
    </row>
    <row r="74">
      <c r="A74" s="21" t="inlineStr">
        <is>
          <t>CC-1019</t>
        </is>
      </c>
      <c r="B74" s="21" t="inlineStr">
        <is>
          <t>ADM</t>
        </is>
      </c>
      <c r="C74" s="21" t="inlineStr">
        <is>
          <t>Apareceu no Balancete</t>
        </is>
      </c>
      <c r="D74" s="23" t="n"/>
      <c r="E74" s="23" t="n">
        <v>12571.39</v>
      </c>
      <c r="F74" s="23" t="n"/>
      <c r="G74" s="21" t="inlineStr">
        <is>
          <t>SEM_VALOR_ORIGEM</t>
        </is>
      </c>
    </row>
    <row r="75">
      <c r="A75" s="24" t="inlineStr">
        <is>
          <t>CC-1019</t>
        </is>
      </c>
      <c r="B75" s="24" t="inlineStr">
        <is>
          <t>MARKETING</t>
        </is>
      </c>
      <c r="C75" s="24" t="inlineStr">
        <is>
          <t>Apareceu no Balancete</t>
        </is>
      </c>
      <c r="D75" s="26" t="n"/>
      <c r="E75" s="26" t="n">
        <v>5068.78</v>
      </c>
      <c r="F75" s="26" t="n"/>
      <c r="G75" s="24" t="inlineStr">
        <is>
          <t>SEM_VALOR_ORIGEM</t>
        </is>
      </c>
    </row>
    <row r="76">
      <c r="A76" s="21" t="inlineStr">
        <is>
          <t>CC-1019</t>
        </is>
      </c>
      <c r="B76" s="21" t="inlineStr">
        <is>
          <t>OPERACOES</t>
        </is>
      </c>
      <c r="C76" s="21" t="inlineStr">
        <is>
          <t>Apareceu no Balancete</t>
        </is>
      </c>
      <c r="D76" s="23" t="n"/>
      <c r="E76" s="23" t="n">
        <v>5568.34</v>
      </c>
      <c r="F76" s="23" t="n"/>
      <c r="G76" s="21" t="inlineStr">
        <is>
          <t>SEM_VALOR_ORIGEM</t>
        </is>
      </c>
    </row>
    <row r="77">
      <c r="A77" s="24" t="inlineStr">
        <is>
          <t>CC-1019</t>
        </is>
      </c>
      <c r="B77" s="24" t="inlineStr">
        <is>
          <t>RH</t>
        </is>
      </c>
      <c r="C77" s="24" t="inlineStr">
        <is>
          <t>Apareceu no Balancete</t>
        </is>
      </c>
      <c r="D77" s="26" t="n"/>
      <c r="E77" s="26" t="n">
        <v>4558.91</v>
      </c>
      <c r="F77" s="26" t="n"/>
      <c r="G77" s="24" t="inlineStr">
        <is>
          <t>SEM_VALOR_ORIGEM</t>
        </is>
      </c>
    </row>
    <row r="78">
      <c r="A78" s="21" t="inlineStr">
        <is>
          <t>CC-1020</t>
        </is>
      </c>
      <c r="B78" s="21" t="inlineStr">
        <is>
          <t>TI</t>
        </is>
      </c>
      <c r="C78" s="21" t="inlineStr">
        <is>
          <t>Apareceu no Balancete</t>
        </is>
      </c>
      <c r="D78" s="23" t="n"/>
      <c r="E78" s="23" t="n">
        <v>2419.15</v>
      </c>
      <c r="F78" s="23" t="n"/>
      <c r="G78" s="21" t="inlineStr">
        <is>
          <t>SEM_VALOR_ORIGEM</t>
        </is>
      </c>
    </row>
    <row r="79">
      <c r="A79" s="24" t="inlineStr">
        <is>
          <t>CC-1021</t>
        </is>
      </c>
      <c r="B79" s="24" t="inlineStr">
        <is>
          <t>ADM</t>
        </is>
      </c>
      <c r="C79" s="24" t="inlineStr">
        <is>
          <t>Apareceu no Balancete</t>
        </is>
      </c>
      <c r="D79" s="26" t="n"/>
      <c r="E79" s="26" t="n">
        <v>19276.37</v>
      </c>
      <c r="F79" s="26" t="n"/>
      <c r="G79" s="24" t="inlineStr">
        <is>
          <t>SEM_VALOR_ORIGEM</t>
        </is>
      </c>
    </row>
    <row r="80">
      <c r="A80" s="21" t="inlineStr">
        <is>
          <t>CC-1022</t>
        </is>
      </c>
      <c r="B80" s="21" t="inlineStr">
        <is>
          <t>OPERACOES</t>
        </is>
      </c>
      <c r="C80" s="21" t="inlineStr">
        <is>
          <t>Apareceu no Balancete</t>
        </is>
      </c>
      <c r="D80" s="23" t="n"/>
      <c r="E80" s="23" t="n">
        <v>399.19</v>
      </c>
      <c r="F80" s="23" t="n"/>
      <c r="G80" s="21" t="inlineStr">
        <is>
          <t>SEM_VALOR_ORIGEM</t>
        </is>
      </c>
    </row>
    <row r="81">
      <c r="A81" s="24" t="inlineStr">
        <is>
          <t>CC-1023</t>
        </is>
      </c>
      <c r="B81" s="24" t="inlineStr">
        <is>
          <t>OPERACOES</t>
        </is>
      </c>
      <c r="C81" s="24" t="inlineStr">
        <is>
          <t>Apareceu no Balancete</t>
        </is>
      </c>
      <c r="D81" s="26" t="n"/>
      <c r="E81" s="26" t="n">
        <v>2397.41</v>
      </c>
      <c r="F81" s="26" t="n"/>
      <c r="G81" s="24" t="inlineStr">
        <is>
          <t>SEM_VALOR_ORIGEM</t>
        </is>
      </c>
    </row>
    <row r="82">
      <c r="A82" s="21" t="inlineStr">
        <is>
          <t>CC-1023</t>
        </is>
      </c>
      <c r="B82" s="21" t="inlineStr">
        <is>
          <t>RH</t>
        </is>
      </c>
      <c r="C82" s="21" t="inlineStr">
        <is>
          <t>Apareceu no Balancete</t>
        </is>
      </c>
      <c r="D82" s="23" t="n"/>
      <c r="E82" s="23" t="n">
        <v>6495.22</v>
      </c>
      <c r="F82" s="23" t="n"/>
      <c r="G82" s="21" t="inlineStr">
        <is>
          <t>SEM_VALOR_ORIGEM</t>
        </is>
      </c>
    </row>
    <row r="83">
      <c r="A83" s="24" t="inlineStr">
        <is>
          <t>CC-1023</t>
        </is>
      </c>
      <c r="B83" s="24" t="inlineStr">
        <is>
          <t>TI</t>
        </is>
      </c>
      <c r="C83" s="24" t="inlineStr">
        <is>
          <t>Apareceu no Balancete</t>
        </is>
      </c>
      <c r="D83" s="26" t="n"/>
      <c r="E83" s="26" t="n">
        <v>1788.76</v>
      </c>
      <c r="F83" s="26" t="n"/>
      <c r="G83" s="24" t="inlineStr">
        <is>
          <t>SEM_VALOR_ORIGEM</t>
        </is>
      </c>
    </row>
    <row r="84">
      <c r="A84" s="21" t="inlineStr">
        <is>
          <t>CC-1024</t>
        </is>
      </c>
      <c r="B84" s="21" t="inlineStr">
        <is>
          <t>FINANCEIRO</t>
        </is>
      </c>
      <c r="C84" s="21" t="inlineStr">
        <is>
          <t>Apareceu no Balancete</t>
        </is>
      </c>
      <c r="D84" s="23" t="n"/>
      <c r="E84" s="23" t="n">
        <v>705.59</v>
      </c>
      <c r="F84" s="23" t="n"/>
      <c r="G84" s="21" t="inlineStr">
        <is>
          <t>SEM_VALOR_ORIGEM</t>
        </is>
      </c>
    </row>
    <row r="85">
      <c r="A85" s="24" t="inlineStr">
        <is>
          <t>CC-1025</t>
        </is>
      </c>
      <c r="B85" s="24" t="inlineStr">
        <is>
          <t>COMERCIAL</t>
        </is>
      </c>
      <c r="C85" s="24" t="inlineStr">
        <is>
          <t>Apareceu no Balancete</t>
        </is>
      </c>
      <c r="D85" s="26" t="n"/>
      <c r="E85" s="26" t="n">
        <v>463.81</v>
      </c>
      <c r="F85" s="26" t="n"/>
      <c r="G85" s="24" t="inlineStr">
        <is>
          <t>SEM_VALOR_ORIGEM</t>
        </is>
      </c>
    </row>
    <row r="86">
      <c r="A86" s="21" t="inlineStr">
        <is>
          <t>CC-1025</t>
        </is>
      </c>
      <c r="B86" s="21" t="inlineStr">
        <is>
          <t>FINANCEIRO</t>
        </is>
      </c>
      <c r="C86" s="21" t="inlineStr">
        <is>
          <t>Apareceu no Balancete</t>
        </is>
      </c>
      <c r="D86" s="23" t="n"/>
      <c r="E86" s="23" t="n">
        <v>1660.94</v>
      </c>
      <c r="F86" s="23" t="n"/>
      <c r="G86" s="21" t="inlineStr">
        <is>
          <t>SEM_VALOR_ORIGEM</t>
        </is>
      </c>
    </row>
    <row r="87">
      <c r="A87" s="24" t="inlineStr">
        <is>
          <t>CC-1025</t>
        </is>
      </c>
      <c r="B87" s="24" t="inlineStr">
        <is>
          <t>RH</t>
        </is>
      </c>
      <c r="C87" s="24" t="inlineStr">
        <is>
          <t>Apareceu no Balancete</t>
        </is>
      </c>
      <c r="D87" s="26" t="n"/>
      <c r="E87" s="26" t="n">
        <v>8276.280000000001</v>
      </c>
      <c r="F87" s="26" t="n"/>
      <c r="G87" s="24" t="inlineStr">
        <is>
          <t>SEM_VALOR_ORIGEM</t>
        </is>
      </c>
    </row>
    <row r="88">
      <c r="A88" s="21" t="inlineStr">
        <is>
          <t>CC-1026</t>
        </is>
      </c>
      <c r="B88" s="21" t="inlineStr">
        <is>
          <t>TI</t>
        </is>
      </c>
      <c r="C88" s="21" t="inlineStr">
        <is>
          <t>Apareceu no Balancete</t>
        </is>
      </c>
      <c r="D88" s="23" t="n"/>
      <c r="E88" s="23" t="n">
        <v>382.91</v>
      </c>
      <c r="F88" s="23" t="n"/>
      <c r="G88" s="21" t="inlineStr">
        <is>
          <t>SEM_VALOR_ORIGEM</t>
        </is>
      </c>
    </row>
    <row r="89">
      <c r="A89" s="24" t="inlineStr">
        <is>
          <t>CC-1027</t>
        </is>
      </c>
      <c r="B89" s="24" t="inlineStr">
        <is>
          <t>OPERACOES</t>
        </is>
      </c>
      <c r="C89" s="24" t="inlineStr">
        <is>
          <t>Apareceu no Balancete</t>
        </is>
      </c>
      <c r="D89" s="26" t="n"/>
      <c r="E89" s="26" t="n">
        <v>534.21</v>
      </c>
      <c r="F89" s="26" t="n"/>
      <c r="G89" s="24" t="inlineStr">
        <is>
          <t>SEM_VALOR_ORIGEM</t>
        </is>
      </c>
    </row>
    <row r="90">
      <c r="A90" s="21" t="inlineStr">
        <is>
          <t>CC-1027</t>
        </is>
      </c>
      <c r="B90" s="21" t="inlineStr">
        <is>
          <t>TI</t>
        </is>
      </c>
      <c r="C90" s="21" t="inlineStr">
        <is>
          <t>Apareceu no Balancete</t>
        </is>
      </c>
      <c r="D90" s="23" t="n"/>
      <c r="E90" s="23" t="n">
        <v>468.76</v>
      </c>
      <c r="F90" s="23" t="n"/>
      <c r="G90" s="21" t="inlineStr">
        <is>
          <t>SEM_VALOR_ORIGEM</t>
        </is>
      </c>
    </row>
    <row r="91">
      <c r="A91" s="24" t="inlineStr">
        <is>
          <t>CC-1028</t>
        </is>
      </c>
      <c r="B91" s="24" t="inlineStr">
        <is>
          <t>COMERCIAL</t>
        </is>
      </c>
      <c r="C91" s="24" t="inlineStr">
        <is>
          <t>Apareceu no Balancete</t>
        </is>
      </c>
      <c r="D91" s="26" t="n"/>
      <c r="E91" s="26" t="n">
        <v>1237.75</v>
      </c>
      <c r="F91" s="26" t="n"/>
      <c r="G91" s="24" t="inlineStr">
        <is>
          <t>SEM_VALOR_ORIGEM</t>
        </is>
      </c>
    </row>
    <row r="92">
      <c r="A92" s="21" t="inlineStr">
        <is>
          <t>CC-1028</t>
        </is>
      </c>
      <c r="B92" s="21" t="inlineStr">
        <is>
          <t>MARKETING</t>
        </is>
      </c>
      <c r="C92" s="21" t="inlineStr">
        <is>
          <t>Apareceu no Balancete</t>
        </is>
      </c>
      <c r="D92" s="23" t="n"/>
      <c r="E92" s="23" t="n">
        <v>16178.71</v>
      </c>
      <c r="F92" s="23" t="n"/>
      <c r="G92" s="21" t="inlineStr">
        <is>
          <t>SEM_VALOR_ORIGEM</t>
        </is>
      </c>
    </row>
    <row r="93">
      <c r="A93" s="24" t="inlineStr">
        <is>
          <t>CC-1030</t>
        </is>
      </c>
      <c r="B93" s="24" t="inlineStr">
        <is>
          <t>TI</t>
        </is>
      </c>
      <c r="C93" s="24" t="inlineStr">
        <is>
          <t>Apareceu no Balancete</t>
        </is>
      </c>
      <c r="D93" s="26" t="n"/>
      <c r="E93" s="26" t="n">
        <v>681.59</v>
      </c>
      <c r="F93" s="26" t="n"/>
      <c r="G93" s="24" t="inlineStr">
        <is>
          <t>SEM_VALOR_ORIGEM</t>
        </is>
      </c>
    </row>
    <row r="94">
      <c r="A94" s="21" t="inlineStr">
        <is>
          <t>CC-1001</t>
        </is>
      </c>
      <c r="B94" s="21" t="inlineStr">
        <is>
          <t>LOGISTICA</t>
        </is>
      </c>
      <c r="C94" s="21" t="inlineStr">
        <is>
          <t>Divergência por duplicidade</t>
        </is>
      </c>
      <c r="D94" s="23" t="n"/>
      <c r="E94" s="23" t="n"/>
      <c r="F94" s="23" t="n"/>
      <c r="G94" s="21" t="inlineStr">
        <is>
          <t>SEM_VALOR_AMBOS</t>
        </is>
      </c>
    </row>
    <row r="95">
      <c r="A95" s="24" t="inlineStr">
        <is>
          <t>CC-1002</t>
        </is>
      </c>
      <c r="B95" s="24" t="inlineStr">
        <is>
          <t>COMERCIAL</t>
        </is>
      </c>
      <c r="C95" s="24" t="inlineStr">
        <is>
          <t>Divergência por duplicidade</t>
        </is>
      </c>
      <c r="D95" s="26" t="n"/>
      <c r="E95" s="26" t="n"/>
      <c r="F95" s="26" t="n"/>
      <c r="G95" s="24" t="inlineStr">
        <is>
          <t>SEM_VALOR_AMBOS</t>
        </is>
      </c>
    </row>
    <row r="96">
      <c r="A96" s="21" t="inlineStr">
        <is>
          <t>CC-1003</t>
        </is>
      </c>
      <c r="B96" s="21" t="inlineStr">
        <is>
          <t>COMERCIAL</t>
        </is>
      </c>
      <c r="C96" s="21" t="inlineStr">
        <is>
          <t>Divergência por duplicidade</t>
        </is>
      </c>
      <c r="D96" s="23" t="n"/>
      <c r="E96" s="23" t="n"/>
      <c r="F96" s="23" t="n"/>
      <c r="G96" s="21" t="inlineStr">
        <is>
          <t>SEM_VALOR_AMBOS</t>
        </is>
      </c>
    </row>
    <row r="97">
      <c r="A97" s="24" t="inlineStr">
        <is>
          <t>CC-1003</t>
        </is>
      </c>
      <c r="B97" s="24" t="inlineStr">
        <is>
          <t>FINANCEIRO</t>
        </is>
      </c>
      <c r="C97" s="24" t="inlineStr">
        <is>
          <t>Divergência por duplicidade</t>
        </is>
      </c>
      <c r="D97" s="26" t="n"/>
      <c r="E97" s="26" t="n"/>
      <c r="F97" s="26" t="n"/>
      <c r="G97" s="24" t="inlineStr">
        <is>
          <t>SEM_VALOR_AMBOS</t>
        </is>
      </c>
    </row>
    <row r="98">
      <c r="A98" s="21" t="inlineStr">
        <is>
          <t>CC-1003</t>
        </is>
      </c>
      <c r="B98" s="21" t="inlineStr">
        <is>
          <t>TI</t>
        </is>
      </c>
      <c r="C98" s="21" t="inlineStr">
        <is>
          <t>Divergência por duplicidade</t>
        </is>
      </c>
      <c r="D98" s="23" t="n"/>
      <c r="E98" s="23" t="n"/>
      <c r="F98" s="23" t="n"/>
      <c r="G98" s="21" t="inlineStr">
        <is>
          <t>SEM_VALOR_AMBOS</t>
        </is>
      </c>
    </row>
    <row r="99">
      <c r="A99" s="24" t="inlineStr">
        <is>
          <t>CC-1004</t>
        </is>
      </c>
      <c r="B99" s="24" t="inlineStr">
        <is>
          <t>RH</t>
        </is>
      </c>
      <c r="C99" s="24" t="inlineStr">
        <is>
          <t>Divergência por duplicidade</t>
        </is>
      </c>
      <c r="D99" s="26" t="n"/>
      <c r="E99" s="26" t="n"/>
      <c r="F99" s="26" t="n"/>
      <c r="G99" s="24" t="inlineStr">
        <is>
          <t>SEM_VALOR_AMBOS</t>
        </is>
      </c>
    </row>
    <row r="100">
      <c r="A100" s="21" t="inlineStr">
        <is>
          <t>CC-1006</t>
        </is>
      </c>
      <c r="B100" s="21" t="inlineStr">
        <is>
          <t>FINANCEIRO</t>
        </is>
      </c>
      <c r="C100" s="21" t="inlineStr">
        <is>
          <t>Divergência por duplicidade</t>
        </is>
      </c>
      <c r="D100" s="23" t="n"/>
      <c r="E100" s="23" t="n"/>
      <c r="F100" s="23" t="n"/>
      <c r="G100" s="21" t="inlineStr">
        <is>
          <t>SEM_VALOR_AMBOS</t>
        </is>
      </c>
    </row>
    <row r="101">
      <c r="A101" s="24" t="inlineStr">
        <is>
          <t>CC-1006</t>
        </is>
      </c>
      <c r="B101" s="24" t="inlineStr">
        <is>
          <t>MARKETING</t>
        </is>
      </c>
      <c r="C101" s="24" t="inlineStr">
        <is>
          <t>Divergência por duplicidade</t>
        </is>
      </c>
      <c r="D101" s="26" t="n"/>
      <c r="E101" s="26" t="n"/>
      <c r="F101" s="26" t="n"/>
      <c r="G101" s="24" t="inlineStr">
        <is>
          <t>SEM_VALOR_AMBOS</t>
        </is>
      </c>
    </row>
    <row r="102">
      <c r="A102" s="21" t="inlineStr">
        <is>
          <t>CC-1007</t>
        </is>
      </c>
      <c r="B102" s="21" t="inlineStr">
        <is>
          <t>ADM</t>
        </is>
      </c>
      <c r="C102" s="21" t="inlineStr">
        <is>
          <t>Divergência por duplicidade</t>
        </is>
      </c>
      <c r="D102" s="23" t="n"/>
      <c r="E102" s="23" t="n"/>
      <c r="F102" s="23" t="n"/>
      <c r="G102" s="21" t="inlineStr">
        <is>
          <t>SEM_VALOR_AMBOS</t>
        </is>
      </c>
    </row>
    <row r="103">
      <c r="A103" s="24" t="inlineStr">
        <is>
          <t>CC-1007</t>
        </is>
      </c>
      <c r="B103" s="24" t="inlineStr">
        <is>
          <t>COMERCIAL</t>
        </is>
      </c>
      <c r="C103" s="24" t="inlineStr">
        <is>
          <t>Divergência por duplicidade</t>
        </is>
      </c>
      <c r="D103" s="26" t="n"/>
      <c r="E103" s="26" t="n"/>
      <c r="F103" s="26" t="n"/>
      <c r="G103" s="24" t="inlineStr">
        <is>
          <t>SEM_VALOR_AMBOS</t>
        </is>
      </c>
    </row>
    <row r="104">
      <c r="A104" s="21" t="inlineStr">
        <is>
          <t>CC-1007</t>
        </is>
      </c>
      <c r="B104" s="21" t="inlineStr">
        <is>
          <t>FINANCEIRO</t>
        </is>
      </c>
      <c r="C104" s="21" t="inlineStr">
        <is>
          <t>Divergência por duplicidade</t>
        </is>
      </c>
      <c r="D104" s="23" t="n"/>
      <c r="E104" s="23" t="n"/>
      <c r="F104" s="23" t="n"/>
      <c r="G104" s="21" t="inlineStr">
        <is>
          <t>SEM_VALOR_AMBOS</t>
        </is>
      </c>
    </row>
    <row r="105">
      <c r="A105" s="24" t="inlineStr">
        <is>
          <t>CC-1008</t>
        </is>
      </c>
      <c r="B105" s="24" t="inlineStr">
        <is>
          <t>FINANCEIRO</t>
        </is>
      </c>
      <c r="C105" s="24" t="inlineStr">
        <is>
          <t>Divergência por duplicidade</t>
        </is>
      </c>
      <c r="D105" s="26" t="n"/>
      <c r="E105" s="26" t="n"/>
      <c r="F105" s="26" t="n"/>
      <c r="G105" s="24" t="inlineStr">
        <is>
          <t>SEM_VALOR_AMBOS</t>
        </is>
      </c>
    </row>
    <row r="106">
      <c r="A106" s="21" t="inlineStr">
        <is>
          <t>CC-1008</t>
        </is>
      </c>
      <c r="B106" s="21" t="inlineStr">
        <is>
          <t>LOGISTICA</t>
        </is>
      </c>
      <c r="C106" s="21" t="inlineStr">
        <is>
          <t>Divergência por duplicidade</t>
        </is>
      </c>
      <c r="D106" s="23" t="n"/>
      <c r="E106" s="23" t="n"/>
      <c r="F106" s="23" t="n"/>
      <c r="G106" s="21" t="inlineStr">
        <is>
          <t>SEM_VALOR_AMBOS</t>
        </is>
      </c>
    </row>
    <row r="107">
      <c r="A107" s="24" t="inlineStr">
        <is>
          <t>CC-1010</t>
        </is>
      </c>
      <c r="B107" s="24" t="inlineStr">
        <is>
          <t>ADM</t>
        </is>
      </c>
      <c r="C107" s="24" t="inlineStr">
        <is>
          <t>Divergência por duplicidade</t>
        </is>
      </c>
      <c r="D107" s="26" t="n"/>
      <c r="E107" s="26" t="n"/>
      <c r="F107" s="26" t="n"/>
      <c r="G107" s="24" t="inlineStr">
        <is>
          <t>SEM_VALOR_AMBOS</t>
        </is>
      </c>
    </row>
    <row r="108">
      <c r="A108" s="21" t="inlineStr">
        <is>
          <t>CC-1010</t>
        </is>
      </c>
      <c r="B108" s="21" t="inlineStr">
        <is>
          <t>LOGISTICA</t>
        </is>
      </c>
      <c r="C108" s="21" t="inlineStr">
        <is>
          <t>Divergência por duplicidade</t>
        </is>
      </c>
      <c r="D108" s="23" t="n"/>
      <c r="E108" s="23" t="n"/>
      <c r="F108" s="23" t="n"/>
      <c r="G108" s="21" t="inlineStr">
        <is>
          <t>SEM_VALOR_AMBOS</t>
        </is>
      </c>
    </row>
    <row r="109">
      <c r="A109" s="24" t="inlineStr">
        <is>
          <t>CC-1010</t>
        </is>
      </c>
      <c r="B109" s="24" t="inlineStr">
        <is>
          <t>RH</t>
        </is>
      </c>
      <c r="C109" s="24" t="inlineStr">
        <is>
          <t>Divergência por duplicidade</t>
        </is>
      </c>
      <c r="D109" s="26" t="n"/>
      <c r="E109" s="26" t="n"/>
      <c r="F109" s="26" t="n"/>
      <c r="G109" s="24" t="inlineStr">
        <is>
          <t>SEM_VALOR_AMBOS</t>
        </is>
      </c>
    </row>
    <row r="110">
      <c r="A110" s="21" t="inlineStr">
        <is>
          <t>CC-1010</t>
        </is>
      </c>
      <c r="B110" s="21" t="inlineStr">
        <is>
          <t>TI</t>
        </is>
      </c>
      <c r="C110" s="21" t="inlineStr">
        <is>
          <t>Divergência por duplicidade</t>
        </is>
      </c>
      <c r="D110" s="23" t="n"/>
      <c r="E110" s="23" t="n"/>
      <c r="F110" s="23" t="n"/>
      <c r="G110" s="21" t="inlineStr">
        <is>
          <t>SEM_VALOR_AMBOS</t>
        </is>
      </c>
    </row>
    <row r="111">
      <c r="A111" s="24" t="inlineStr">
        <is>
          <t>CC-1011</t>
        </is>
      </c>
      <c r="B111" s="24" t="inlineStr">
        <is>
          <t>FINANCEIRO</t>
        </is>
      </c>
      <c r="C111" s="24" t="inlineStr">
        <is>
          <t>Divergência por duplicidade</t>
        </is>
      </c>
      <c r="D111" s="26" t="n"/>
      <c r="E111" s="26" t="n"/>
      <c r="F111" s="26" t="n"/>
      <c r="G111" s="24" t="inlineStr">
        <is>
          <t>SEM_VALOR_AMBOS</t>
        </is>
      </c>
    </row>
    <row r="112">
      <c r="A112" s="21" t="inlineStr">
        <is>
          <t>CC-1013</t>
        </is>
      </c>
      <c r="B112" s="21" t="inlineStr">
        <is>
          <t>RH</t>
        </is>
      </c>
      <c r="C112" s="21" t="inlineStr">
        <is>
          <t>Divergência por duplicidade</t>
        </is>
      </c>
      <c r="D112" s="23" t="n"/>
      <c r="E112" s="23" t="n"/>
      <c r="F112" s="23" t="n"/>
      <c r="G112" s="21" t="inlineStr">
        <is>
          <t>SEM_VALOR_AMBOS</t>
        </is>
      </c>
    </row>
    <row r="113">
      <c r="A113" s="24" t="inlineStr">
        <is>
          <t>CC-1016</t>
        </is>
      </c>
      <c r="B113" s="24" t="inlineStr">
        <is>
          <t>COMERCIAL</t>
        </is>
      </c>
      <c r="C113" s="24" t="inlineStr">
        <is>
          <t>Divergência por duplicidade</t>
        </is>
      </c>
      <c r="D113" s="26" t="n"/>
      <c r="E113" s="26" t="n"/>
      <c r="F113" s="26" t="n"/>
      <c r="G113" s="24" t="inlineStr">
        <is>
          <t>SEM_VALOR_AMBOS</t>
        </is>
      </c>
    </row>
    <row r="114">
      <c r="A114" s="21" t="inlineStr">
        <is>
          <t>CC-1016</t>
        </is>
      </c>
      <c r="B114" s="21" t="inlineStr">
        <is>
          <t>LOGISTICA</t>
        </is>
      </c>
      <c r="C114" s="21" t="inlineStr">
        <is>
          <t>Divergência por duplicidade</t>
        </is>
      </c>
      <c r="D114" s="23" t="n"/>
      <c r="E114" s="23" t="n"/>
      <c r="F114" s="23" t="n"/>
      <c r="G114" s="21" t="inlineStr">
        <is>
          <t>SEM_VALOR_AMBOS</t>
        </is>
      </c>
    </row>
    <row r="115">
      <c r="A115" s="24" t="inlineStr">
        <is>
          <t>CC-1016</t>
        </is>
      </c>
      <c r="B115" s="24" t="inlineStr">
        <is>
          <t>MARKETING</t>
        </is>
      </c>
      <c r="C115" s="24" t="inlineStr">
        <is>
          <t>Divergência por duplicidade</t>
        </is>
      </c>
      <c r="D115" s="26" t="n"/>
      <c r="E115" s="26" t="n"/>
      <c r="F115" s="26" t="n"/>
      <c r="G115" s="24" t="inlineStr">
        <is>
          <t>SEM_VALOR_AMBOS</t>
        </is>
      </c>
    </row>
    <row r="116">
      <c r="A116" s="21" t="inlineStr">
        <is>
          <t>CC-1017</t>
        </is>
      </c>
      <c r="B116" s="21" t="inlineStr">
        <is>
          <t>MARKETING</t>
        </is>
      </c>
      <c r="C116" s="21" t="inlineStr">
        <is>
          <t>Divergência por duplicidade</t>
        </is>
      </c>
      <c r="D116" s="23" t="n"/>
      <c r="E116" s="23" t="n"/>
      <c r="F116" s="23" t="n"/>
      <c r="G116" s="21" t="inlineStr">
        <is>
          <t>SEM_VALOR_AMBOS</t>
        </is>
      </c>
    </row>
    <row r="117">
      <c r="A117" s="24" t="inlineStr">
        <is>
          <t>CC-1017</t>
        </is>
      </c>
      <c r="B117" s="24" t="inlineStr">
        <is>
          <t>TI</t>
        </is>
      </c>
      <c r="C117" s="24" t="inlineStr">
        <is>
          <t>Divergência por duplicidade</t>
        </is>
      </c>
      <c r="D117" s="26" t="n"/>
      <c r="E117" s="26" t="n"/>
      <c r="F117" s="26" t="n"/>
      <c r="G117" s="24" t="inlineStr">
        <is>
          <t>SEM_VALOR_AMBOS</t>
        </is>
      </c>
    </row>
    <row r="118">
      <c r="A118" s="21" t="inlineStr">
        <is>
          <t>CC-1018</t>
        </is>
      </c>
      <c r="B118" s="21" t="inlineStr">
        <is>
          <t>COMERCIAL</t>
        </is>
      </c>
      <c r="C118" s="21" t="inlineStr">
        <is>
          <t>Divergência por duplicidade</t>
        </is>
      </c>
      <c r="D118" s="23" t="n"/>
      <c r="E118" s="23" t="n"/>
      <c r="F118" s="23" t="n"/>
      <c r="G118" s="21" t="inlineStr">
        <is>
          <t>SEM_VALOR_AMBOS</t>
        </is>
      </c>
    </row>
    <row r="119">
      <c r="A119" s="24" t="inlineStr">
        <is>
          <t>CC-1018</t>
        </is>
      </c>
      <c r="B119" s="24" t="inlineStr">
        <is>
          <t>FINANCEIRO</t>
        </is>
      </c>
      <c r="C119" s="24" t="inlineStr">
        <is>
          <t>Divergência por duplicidade</t>
        </is>
      </c>
      <c r="D119" s="26" t="n"/>
      <c r="E119" s="26" t="n"/>
      <c r="F119" s="26" t="n"/>
      <c r="G119" s="24" t="inlineStr">
        <is>
          <t>SEM_VALOR_AMBOS</t>
        </is>
      </c>
    </row>
    <row r="120">
      <c r="A120" s="21" t="inlineStr">
        <is>
          <t>CC-1019</t>
        </is>
      </c>
      <c r="B120" s="21" t="inlineStr">
        <is>
          <t>TI</t>
        </is>
      </c>
      <c r="C120" s="21" t="inlineStr">
        <is>
          <t>Divergência por duplicidade</t>
        </is>
      </c>
      <c r="D120" s="23" t="n"/>
      <c r="E120" s="23" t="n"/>
      <c r="F120" s="23" t="n"/>
      <c r="G120" s="21" t="inlineStr">
        <is>
          <t>SEM_VALOR_AMBOS</t>
        </is>
      </c>
    </row>
    <row r="121">
      <c r="A121" s="24" t="inlineStr">
        <is>
          <t>CC-1020</t>
        </is>
      </c>
      <c r="B121" s="24" t="inlineStr">
        <is>
          <t>ADM</t>
        </is>
      </c>
      <c r="C121" s="24" t="inlineStr">
        <is>
          <t>Divergência por duplicidade</t>
        </is>
      </c>
      <c r="D121" s="26" t="n"/>
      <c r="E121" s="26" t="n"/>
      <c r="F121" s="26" t="n"/>
      <c r="G121" s="24" t="inlineStr">
        <is>
          <t>SEM_VALOR_AMBOS</t>
        </is>
      </c>
    </row>
    <row r="122">
      <c r="A122" s="21" t="inlineStr">
        <is>
          <t>CC-1020</t>
        </is>
      </c>
      <c r="B122" s="21" t="inlineStr">
        <is>
          <t>FINANCEIRO</t>
        </is>
      </c>
      <c r="C122" s="21" t="inlineStr">
        <is>
          <t>Divergência por duplicidade</t>
        </is>
      </c>
      <c r="D122" s="23" t="n"/>
      <c r="E122" s="23" t="n"/>
      <c r="F122" s="23" t="n"/>
      <c r="G122" s="21" t="inlineStr">
        <is>
          <t>SEM_VALOR_AMBOS</t>
        </is>
      </c>
    </row>
    <row r="123">
      <c r="A123" s="24" t="inlineStr">
        <is>
          <t>CC-1022</t>
        </is>
      </c>
      <c r="B123" s="24" t="inlineStr">
        <is>
          <t>FINANCEIRO</t>
        </is>
      </c>
      <c r="C123" s="24" t="inlineStr">
        <is>
          <t>Divergência por duplicidade</t>
        </is>
      </c>
      <c r="D123" s="26" t="n"/>
      <c r="E123" s="26" t="n"/>
      <c r="F123" s="26" t="n"/>
      <c r="G123" s="24" t="inlineStr">
        <is>
          <t>SEM_VALOR_AMBOS</t>
        </is>
      </c>
    </row>
    <row r="124">
      <c r="A124" s="21" t="inlineStr">
        <is>
          <t>CC-1022</t>
        </is>
      </c>
      <c r="B124" s="21" t="inlineStr">
        <is>
          <t>MARKETING</t>
        </is>
      </c>
      <c r="C124" s="21" t="inlineStr">
        <is>
          <t>Divergência por duplicidade</t>
        </is>
      </c>
      <c r="D124" s="23" t="n"/>
      <c r="E124" s="23" t="n"/>
      <c r="F124" s="23" t="n"/>
      <c r="G124" s="21" t="inlineStr">
        <is>
          <t>SEM_VALOR_AMBOS</t>
        </is>
      </c>
    </row>
    <row r="125">
      <c r="A125" s="24" t="inlineStr">
        <is>
          <t>CC-1023</t>
        </is>
      </c>
      <c r="B125" s="24" t="inlineStr">
        <is>
          <t>LOGISTICA</t>
        </is>
      </c>
      <c r="C125" s="24" t="inlineStr">
        <is>
          <t>Divergência por duplicidade</t>
        </is>
      </c>
      <c r="D125" s="26" t="n"/>
      <c r="E125" s="26" t="n"/>
      <c r="F125" s="26" t="n"/>
      <c r="G125" s="24" t="inlineStr">
        <is>
          <t>SEM_VALOR_AMBOS</t>
        </is>
      </c>
    </row>
    <row r="126">
      <c r="A126" s="21" t="inlineStr">
        <is>
          <t>CC-1023</t>
        </is>
      </c>
      <c r="B126" s="21" t="inlineStr">
        <is>
          <t>MARKETING</t>
        </is>
      </c>
      <c r="C126" s="21" t="inlineStr">
        <is>
          <t>Divergência por duplicidade</t>
        </is>
      </c>
      <c r="D126" s="23" t="n"/>
      <c r="E126" s="23" t="n"/>
      <c r="F126" s="23" t="n"/>
      <c r="G126" s="21" t="inlineStr">
        <is>
          <t>SEM_VALOR_AMBOS</t>
        </is>
      </c>
    </row>
    <row r="127">
      <c r="A127" s="24" t="inlineStr">
        <is>
          <t>CC-1024</t>
        </is>
      </c>
      <c r="B127" s="24" t="inlineStr">
        <is>
          <t>RH</t>
        </is>
      </c>
      <c r="C127" s="24" t="inlineStr">
        <is>
          <t>Divergência por duplicidade</t>
        </is>
      </c>
      <c r="D127" s="26" t="n"/>
      <c r="E127" s="26" t="n"/>
      <c r="F127" s="26" t="n"/>
      <c r="G127" s="24" t="inlineStr">
        <is>
          <t>SEM_VALOR_AMBOS</t>
        </is>
      </c>
    </row>
    <row r="128">
      <c r="A128" s="21" t="inlineStr">
        <is>
          <t>CC-1024</t>
        </is>
      </c>
      <c r="B128" s="21" t="inlineStr">
        <is>
          <t>TI</t>
        </is>
      </c>
      <c r="C128" s="21" t="inlineStr">
        <is>
          <t>Divergência por duplicidade</t>
        </is>
      </c>
      <c r="D128" s="23" t="n"/>
      <c r="E128" s="23" t="n"/>
      <c r="F128" s="23" t="n"/>
      <c r="G128" s="21" t="inlineStr">
        <is>
          <t>SEM_VALOR_AMBOS</t>
        </is>
      </c>
    </row>
    <row r="129">
      <c r="A129" s="24" t="inlineStr">
        <is>
          <t>CC-1025</t>
        </is>
      </c>
      <c r="B129" s="24" t="inlineStr">
        <is>
          <t>LOGISTICA</t>
        </is>
      </c>
      <c r="C129" s="24" t="inlineStr">
        <is>
          <t>Divergência por duplicidade</t>
        </is>
      </c>
      <c r="D129" s="26" t="n"/>
      <c r="E129" s="26" t="n"/>
      <c r="F129" s="26" t="n"/>
      <c r="G129" s="24" t="inlineStr">
        <is>
          <t>SEM_VALOR_AMBOS</t>
        </is>
      </c>
    </row>
    <row r="130">
      <c r="A130" s="21" t="inlineStr">
        <is>
          <t>CC-1025</t>
        </is>
      </c>
      <c r="B130" s="21" t="inlineStr">
        <is>
          <t>MARKETING</t>
        </is>
      </c>
      <c r="C130" s="21" t="inlineStr">
        <is>
          <t>Divergência por duplicidade</t>
        </is>
      </c>
      <c r="D130" s="23" t="n"/>
      <c r="E130" s="23" t="n"/>
      <c r="F130" s="23" t="n"/>
      <c r="G130" s="21" t="inlineStr">
        <is>
          <t>SEM_VALOR_AMBOS</t>
        </is>
      </c>
    </row>
    <row r="131">
      <c r="A131" s="24" t="inlineStr">
        <is>
          <t>CC-1026</t>
        </is>
      </c>
      <c r="B131" s="24" t="inlineStr">
        <is>
          <t>ADM</t>
        </is>
      </c>
      <c r="C131" s="24" t="inlineStr">
        <is>
          <t>Divergência por duplicidade</t>
        </is>
      </c>
      <c r="D131" s="26" t="n"/>
      <c r="E131" s="26" t="n"/>
      <c r="F131" s="26" t="n"/>
      <c r="G131" s="24" t="inlineStr">
        <is>
          <t>SEM_VALOR_AMBOS</t>
        </is>
      </c>
    </row>
    <row r="132">
      <c r="A132" s="21" t="inlineStr">
        <is>
          <t>CC-1026</t>
        </is>
      </c>
      <c r="B132" s="21" t="inlineStr">
        <is>
          <t>OPERACOES</t>
        </is>
      </c>
      <c r="C132" s="21" t="inlineStr">
        <is>
          <t>Divergência por duplicidade</t>
        </is>
      </c>
      <c r="D132" s="23" t="n"/>
      <c r="E132" s="23" t="n"/>
      <c r="F132" s="23" t="n"/>
      <c r="G132" s="21" t="inlineStr">
        <is>
          <t>SEM_VALOR_AMBOS</t>
        </is>
      </c>
    </row>
    <row r="133">
      <c r="A133" s="24" t="inlineStr">
        <is>
          <t>CC-1027</t>
        </is>
      </c>
      <c r="B133" s="24" t="inlineStr">
        <is>
          <t>ADM</t>
        </is>
      </c>
      <c r="C133" s="24" t="inlineStr">
        <is>
          <t>Divergência por duplicidade</t>
        </is>
      </c>
      <c r="D133" s="26" t="n"/>
      <c r="E133" s="26" t="n"/>
      <c r="F133" s="26" t="n"/>
      <c r="G133" s="24" t="inlineStr">
        <is>
          <t>SEM_VALOR_AMBOS</t>
        </is>
      </c>
    </row>
    <row r="134">
      <c r="A134" s="21" t="inlineStr">
        <is>
          <t>CC-1027</t>
        </is>
      </c>
      <c r="B134" s="21" t="inlineStr">
        <is>
          <t>COMERCIAL</t>
        </is>
      </c>
      <c r="C134" s="21" t="inlineStr">
        <is>
          <t>Divergência por duplicidade</t>
        </is>
      </c>
      <c r="D134" s="23" t="n"/>
      <c r="E134" s="23" t="n"/>
      <c r="F134" s="23" t="n"/>
      <c r="G134" s="21" t="inlineStr">
        <is>
          <t>SEM_VALOR_AMBOS</t>
        </is>
      </c>
    </row>
    <row r="135">
      <c r="A135" s="24" t="inlineStr">
        <is>
          <t>CC-1028</t>
        </is>
      </c>
      <c r="B135" s="24" t="inlineStr">
        <is>
          <t>FINANCEIRO</t>
        </is>
      </c>
      <c r="C135" s="24" t="inlineStr">
        <is>
          <t>Divergência por duplicidade</t>
        </is>
      </c>
      <c r="D135" s="26" t="n"/>
      <c r="E135" s="26" t="n"/>
      <c r="F135" s="26" t="n"/>
      <c r="G135" s="24" t="inlineStr">
        <is>
          <t>SEM_VALOR_AMBOS</t>
        </is>
      </c>
    </row>
    <row r="136">
      <c r="A136" s="21" t="inlineStr">
        <is>
          <t>CC-1029</t>
        </is>
      </c>
      <c r="B136" s="21" t="inlineStr">
        <is>
          <t>TI</t>
        </is>
      </c>
      <c r="C136" s="21" t="inlineStr">
        <is>
          <t>Divergência por duplicidade</t>
        </is>
      </c>
      <c r="D136" s="23" t="n"/>
      <c r="E136" s="23" t="n"/>
      <c r="F136" s="23" t="n"/>
      <c r="G136" s="21" t="inlineStr">
        <is>
          <t>SEM_VALOR_AMBOS</t>
        </is>
      </c>
    </row>
    <row r="137">
      <c r="A137" s="24" t="inlineStr">
        <is>
          <t>CC-1030</t>
        </is>
      </c>
      <c r="B137" s="24" t="inlineStr">
        <is>
          <t>ADM</t>
        </is>
      </c>
      <c r="C137" s="24" t="inlineStr">
        <is>
          <t>Divergência por duplicidade</t>
        </is>
      </c>
      <c r="D137" s="26" t="n"/>
      <c r="E137" s="26" t="n"/>
      <c r="F137" s="26" t="n"/>
      <c r="G137" s="24" t="inlineStr">
        <is>
          <t>SEM_VALOR_AMBOS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5" max="5"/>
  </cols>
  <sheetData>
    <row r="1" ht="28" customHeight="1">
      <c r="A1" s="1" t="inlineStr">
        <is>
          <t>Ponte de Conciliação</t>
        </is>
      </c>
    </row>
    <row r="2" ht="8" customHeight="1"/>
    <row r="3" ht="22" customHeight="1">
      <c r="A3" s="3" t="inlineStr">
        <is>
          <t>Valor  ·  MONETARIO_BRL</t>
        </is>
      </c>
      <c r="B3" s="4" t="n"/>
      <c r="C3" s="4" t="n"/>
      <c r="D3" s="4" t="n"/>
      <c r="E3" s="4" t="n"/>
      <c r="F3" s="4" t="n"/>
    </row>
    <row r="4">
      <c r="A4" s="29" t="inlineStr">
        <is>
          <t>Soma · Razão</t>
        </is>
      </c>
      <c r="B4" s="4" t="n"/>
      <c r="C4" s="4" t="n"/>
      <c r="D4" s="4" t="n"/>
      <c r="E4" s="30" t="n">
        <v>139521.24</v>
      </c>
      <c r="F4" s="4" t="n"/>
    </row>
    <row r="5">
      <c r="A5" s="31" t="inlineStr">
        <is>
          <t>(−) Registros Só em Razão</t>
        </is>
      </c>
      <c r="B5" s="4" t="n"/>
      <c r="C5" s="4" t="n"/>
      <c r="D5" s="4" t="n"/>
      <c r="E5" s="32" t="n">
        <v>-120885.28</v>
      </c>
      <c r="F5" s="4" t="n"/>
    </row>
    <row r="6">
      <c r="A6" s="29" t="inlineStr">
        <is>
          <t>(−) Diferença líquida em Divergentes por valor</t>
        </is>
      </c>
      <c r="B6" s="4" t="n"/>
      <c r="C6" s="4" t="n"/>
      <c r="D6" s="4" t="n"/>
      <c r="E6" s="30" t="n">
        <v>20050.01</v>
      </c>
      <c r="F6" s="4" t="n"/>
    </row>
    <row r="7">
      <c r="A7" s="31" t="inlineStr">
        <is>
          <t>(−) Tolerância absorvida</t>
        </is>
      </c>
      <c r="B7" s="4" t="n"/>
      <c r="C7" s="4" t="n"/>
      <c r="D7" s="4" t="n"/>
      <c r="E7" s="32" t="n">
        <v>0</v>
      </c>
      <c r="F7" s="4" t="n"/>
    </row>
    <row r="8">
      <c r="A8" s="29" t="inlineStr">
        <is>
          <t>(+) Registros Só em Balancete</t>
        </is>
      </c>
      <c r="B8" s="4" t="n"/>
      <c r="C8" s="4" t="n"/>
      <c r="D8" s="4" t="n"/>
      <c r="E8" s="30" t="n">
        <v>207417.8</v>
      </c>
      <c r="F8" s="4" t="n"/>
    </row>
    <row r="9">
      <c r="A9" s="18">
        <f> Soma · Balancete (calculado)</f>
        <v/>
      </c>
      <c r="B9" s="4" t="n"/>
      <c r="C9" s="4" t="n"/>
      <c r="D9" s="4" t="n"/>
      <c r="E9" s="33" t="n">
        <v>246103.77</v>
      </c>
      <c r="F9" s="4" t="n"/>
    </row>
    <row r="10">
      <c r="A10" s="17" t="inlineStr">
        <is>
          <t>Soma · Balancete (real)</t>
        </is>
      </c>
      <c r="B10" s="4" t="n"/>
      <c r="C10" s="4" t="n"/>
      <c r="D10" s="4" t="n"/>
      <c r="E10" s="34" t="n">
        <v>246103.77</v>
      </c>
      <c r="F10" s="4" t="n"/>
    </row>
    <row r="11">
      <c r="A11" s="35" t="inlineStr">
        <is>
          <t>✅ Fecha (resíduo absorvido pela tolerância)</t>
        </is>
      </c>
      <c r="E11" s="36" t="n">
        <v>0</v>
      </c>
    </row>
  </sheetData>
  <mergeCells count="10">
    <mergeCell ref="A5:D5"/>
    <mergeCell ref="A9:D9"/>
    <mergeCell ref="A8:D8"/>
    <mergeCell ref="A6:D6"/>
    <mergeCell ref="A4:D4"/>
    <mergeCell ref="A1:F1"/>
    <mergeCell ref="A7:D7"/>
    <mergeCell ref="A11:D11"/>
    <mergeCell ref="A3:F3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33" customWidth="1" min="1" max="1"/>
  </cols>
  <sheetData>
    <row r="1" ht="28" customHeight="1">
      <c r="A1" s="1" t="inlineStr">
        <is>
          <t>Diagnóstico</t>
        </is>
      </c>
    </row>
    <row r="2" ht="8" customHeight="1"/>
    <row r="3" ht="22" customHeight="1">
      <c r="A3" s="3" t="inlineStr">
        <is>
          <t>Estrutura detectada</t>
        </is>
      </c>
      <c r="B3" s="4" t="n"/>
      <c r="C3" s="4" t="n"/>
      <c r="D3" s="4" t="n"/>
      <c r="E3" s="4" t="n"/>
      <c r="F3" s="4" t="n"/>
    </row>
    <row r="4" ht="22" customHeight="1">
      <c r="A4" s="3" t="inlineStr">
        <is>
          <t>(detalhes)</t>
        </is>
      </c>
      <c r="B4" s="4" t="n"/>
      <c r="C4" s="4" t="n"/>
      <c r="D4" s="4" t="n"/>
      <c r="E4" s="4" t="n"/>
      <c r="F4" s="4" t="n"/>
    </row>
    <row r="5">
      <c r="A5" s="17" t="inlineStr">
        <is>
          <t>Caso lógico</t>
        </is>
      </c>
      <c r="B5" s="11" t="inlineStr">
        <is>
          <t>Abas distintas · match executado</t>
        </is>
      </c>
      <c r="C5" s="13" t="n"/>
      <c r="D5" s="13" t="n"/>
      <c r="E5" s="13" t="n"/>
      <c r="F5" s="13" t="n"/>
    </row>
    <row r="6">
      <c r="A6" s="18" t="inlineStr">
        <is>
          <t>Arquivos</t>
        </is>
      </c>
      <c r="B6" s="14" t="inlineStr">
        <is>
          <t>1 arquivo(s)</t>
        </is>
      </c>
      <c r="C6" s="16" t="n"/>
      <c r="D6" s="16" t="n"/>
      <c r="E6" s="16" t="n"/>
      <c r="F6" s="16" t="n"/>
    </row>
    <row r="7">
      <c r="A7" s="17" t="inlineStr">
        <is>
          <t>Origem</t>
        </is>
      </c>
      <c r="B7" s="11" t="inlineStr">
        <is>
          <t>base_fundacao.xlsx · dual_origem_crm</t>
        </is>
      </c>
      <c r="C7" s="13" t="n"/>
      <c r="D7" s="13" t="n"/>
      <c r="E7" s="13" t="n"/>
      <c r="F7" s="13" t="n"/>
    </row>
    <row r="8">
      <c r="A8" s="18" t="inlineStr">
        <is>
          <t>Comparado</t>
        </is>
      </c>
      <c r="B8" s="14" t="inlineStr">
        <is>
          <t>base_fundacao.xlsx · dual_comparado_erp</t>
        </is>
      </c>
      <c r="C8" s="16" t="n"/>
      <c r="D8" s="16" t="n"/>
      <c r="E8" s="16" t="n"/>
      <c r="F8" s="16" t="n"/>
    </row>
    <row r="9">
      <c r="A9" s="17" t="inlineStr">
        <is>
          <t>Registros · Origem</t>
        </is>
      </c>
      <c r="B9" s="11" t="inlineStr">
        <is>
          <t>110</t>
        </is>
      </c>
      <c r="C9" s="13" t="n"/>
      <c r="D9" s="13" t="n"/>
      <c r="E9" s="13" t="n"/>
      <c r="F9" s="13" t="n"/>
    </row>
    <row r="10">
      <c r="A10" s="18" t="inlineStr">
        <is>
          <t>Registros · Comparado</t>
        </is>
      </c>
      <c r="B10" s="14" t="inlineStr">
        <is>
          <t>105</t>
        </is>
      </c>
      <c r="C10" s="16" t="n"/>
      <c r="D10" s="16" t="n"/>
      <c r="E10" s="16" t="n"/>
      <c r="F10" s="16" t="n"/>
    </row>
    <row r="11">
      <c r="A11" s="17" t="inlineStr">
        <is>
          <t>Processados</t>
        </is>
      </c>
      <c r="B11" s="11" t="inlineStr">
        <is>
          <t>205</t>
        </is>
      </c>
      <c r="C11" s="13" t="n"/>
      <c r="D11" s="13" t="n"/>
      <c r="E11" s="13" t="n"/>
      <c r="F11" s="13" t="n"/>
    </row>
    <row r="12">
      <c r="A12" s="18" t="inlineStr">
        <is>
          <t>Data/hora geração</t>
        </is>
      </c>
      <c r="B12" s="14" t="inlineStr">
        <is>
          <t>26/04/2026 20:25</t>
        </is>
      </c>
      <c r="C12" s="16" t="n"/>
      <c r="D12" s="16" t="n"/>
      <c r="E12" s="16" t="n"/>
      <c r="F12" s="16" t="n"/>
    </row>
    <row r="13" ht="8" customHeight="1"/>
    <row r="14" ht="22" customHeight="1">
      <c r="A14" s="3" t="inlineStr">
        <is>
          <t>Tolerâncias absorvidas</t>
        </is>
      </c>
      <c r="B14" s="4" t="n"/>
      <c r="C14" s="4" t="n"/>
      <c r="D14" s="4" t="n"/>
      <c r="E14" s="4" t="n"/>
      <c r="F14" s="4" t="n"/>
    </row>
    <row r="15" ht="22" customHeight="1">
      <c r="A15" s="3" t="inlineStr">
        <is>
          <t>(detalhes)</t>
        </is>
      </c>
      <c r="B15" s="4" t="n"/>
      <c r="C15" s="4" t="n"/>
      <c r="D15" s="4" t="n"/>
      <c r="E15" s="4" t="n"/>
      <c r="F15" s="4" t="n"/>
    </row>
    <row r="16">
      <c r="A16" s="17" t="inlineStr">
        <is>
          <t>Total de células absorvidas</t>
        </is>
      </c>
      <c r="B16" s="11" t="inlineStr">
        <is>
          <t>0</t>
        </is>
      </c>
      <c r="C16" s="13" t="n"/>
      <c r="D16" s="13" t="n"/>
      <c r="E16" s="13" t="n"/>
      <c r="F16" s="13" t="n"/>
    </row>
    <row r="17">
      <c r="A17" s="18" t="inlineStr">
        <is>
          <t>Soma absoluta absorvida</t>
        </is>
      </c>
      <c r="B17" s="14" t="inlineStr">
        <is>
          <t>-</t>
        </is>
      </c>
      <c r="C17" s="16" t="n"/>
      <c r="D17" s="16" t="n"/>
      <c r="E17" s="16" t="n"/>
      <c r="F17" s="16" t="n"/>
    </row>
    <row r="18" ht="8" customHeight="1"/>
    <row r="19" ht="22" customHeight="1">
      <c r="A19" s="3" t="inlineStr">
        <is>
          <t>Configuração aplicada</t>
        </is>
      </c>
      <c r="B19" s="4" t="n"/>
      <c r="C19" s="4" t="n"/>
      <c r="D19" s="4" t="n"/>
      <c r="E19" s="4" t="n"/>
      <c r="F19" s="4" t="n"/>
    </row>
    <row r="20" ht="22" customHeight="1">
      <c r="A20" s="3" t="inlineStr">
        <is>
          <t>(detalhes)</t>
        </is>
      </c>
      <c r="B20" s="4" t="n"/>
      <c r="C20" s="4" t="n"/>
      <c r="D20" s="4" t="n"/>
      <c r="E20" s="4" t="n"/>
      <c r="F20" s="4" t="n"/>
    </row>
    <row r="21">
      <c r="A21" s="17" t="inlineStr">
        <is>
          <t>Agrupadores de match</t>
        </is>
      </c>
      <c r="B21" s="11" t="inlineStr">
        <is>
          <t>Conta (Exato (igualdade total)) · Centro de Custo (Exato (igualdade total))</t>
        </is>
      </c>
      <c r="C21" s="13" t="n"/>
      <c r="D21" s="13" t="n"/>
      <c r="E21" s="13" t="n"/>
      <c r="F21" s="13" t="n"/>
    </row>
    <row r="22">
      <c r="A22" s="18" t="inlineStr">
        <is>
          <t>Agrupadores do Resumo Executivo</t>
        </is>
      </c>
      <c r="B22" s="14" t="inlineStr">
        <is>
          <t>Centro_Custo</t>
        </is>
      </c>
      <c r="C22" s="16" t="n"/>
      <c r="D22" s="16" t="n"/>
      <c r="E22" s="16" t="n"/>
      <c r="F22" s="16" t="n"/>
    </row>
    <row r="23">
      <c r="A23" s="17" t="inlineStr">
        <is>
          <t>Campo · Valor</t>
        </is>
      </c>
      <c r="B23" s="11" t="inlineStr">
        <is>
          <t>tipo VALOR_MONETARIO · unidade MONETARIO_BRL · tolerância 0.01</t>
        </is>
      </c>
      <c r="C23" s="13" t="n"/>
      <c r="D23" s="13" t="n"/>
      <c r="E23" s="13" t="n"/>
      <c r="F23" s="13" t="n"/>
    </row>
    <row r="24">
      <c r="A24" s="18" t="inlineStr">
        <is>
          <t>Paleta aplicada</t>
        </is>
      </c>
      <c r="B24" s="14" t="inlineStr">
        <is>
          <t>Azul executivo</t>
        </is>
      </c>
      <c r="C24" s="16" t="n"/>
      <c r="D24" s="16" t="n"/>
      <c r="E24" s="16" t="n"/>
      <c r="F24" s="16" t="n"/>
    </row>
    <row r="25">
      <c r="A25" s="17" t="inlineStr">
        <is>
          <t>Épsilon por unidade</t>
        </is>
      </c>
      <c r="B25" s="11" t="inlineStr">
        <is>
          <t>MONETARIO_BRL: 0.01</t>
        </is>
      </c>
      <c r="C25" s="13" t="n"/>
      <c r="D25" s="13" t="n"/>
      <c r="E25" s="13" t="n"/>
      <c r="F25" s="13" t="n"/>
    </row>
    <row r="26" ht="8" customHeight="1"/>
    <row r="27" ht="22" customHeight="1">
      <c r="A27" s="3" t="inlineStr">
        <is>
          <t>Modos de match aplicados</t>
        </is>
      </c>
      <c r="B27" s="4" t="n"/>
      <c r="C27" s="4" t="n"/>
      <c r="D27" s="4" t="n"/>
      <c r="E27" s="4" t="n"/>
      <c r="F27" s="4" t="n"/>
    </row>
    <row r="28" ht="22" customHeight="1">
      <c r="A28" s="3" t="inlineStr">
        <is>
          <t>(detalhes)</t>
        </is>
      </c>
      <c r="B28" s="4" t="n"/>
      <c r="C28" s="4" t="n"/>
      <c r="D28" s="4" t="n"/>
      <c r="E28" s="4" t="n"/>
      <c r="F28" s="4" t="n"/>
    </row>
    <row r="29">
      <c r="A29" s="17" t="inlineStr">
        <is>
          <t>Conta</t>
        </is>
      </c>
      <c r="B29" s="11" t="inlineStr">
        <is>
          <t>Exato (igualdade total)</t>
        </is>
      </c>
      <c r="C29" s="13" t="n"/>
      <c r="D29" s="13" t="n"/>
      <c r="E29" s="13" t="n"/>
      <c r="F29" s="13" t="n"/>
    </row>
    <row r="30">
      <c r="A30" s="18" t="inlineStr">
        <is>
          <t>Centro de Custo</t>
        </is>
      </c>
      <c r="B30" s="14" t="inlineStr">
        <is>
          <t>Exato (igualdade total)</t>
        </is>
      </c>
      <c r="C30" s="16" t="n"/>
      <c r="D30" s="16" t="n"/>
      <c r="E30" s="16" t="n"/>
      <c r="F30" s="16" t="n"/>
    </row>
    <row r="31" ht="8" customHeight="1"/>
    <row r="32" ht="22" customHeight="1">
      <c r="A32" s="3" t="inlineStr">
        <is>
          <t>Warnings emitidos</t>
        </is>
      </c>
      <c r="B32" s="4" t="n"/>
      <c r="C32" s="4" t="n"/>
      <c r="D32" s="4" t="n"/>
      <c r="E32" s="4" t="n"/>
      <c r="F32" s="4" t="n"/>
    </row>
    <row r="33" ht="22" customHeight="1">
      <c r="A33" s="3" t="inlineStr">
        <is>
          <t>(detalhes)</t>
        </is>
      </c>
      <c r="B33" s="4" t="n"/>
      <c r="C33" s="4" t="n"/>
      <c r="D33" s="4" t="n"/>
      <c r="E33" s="4" t="n"/>
      <c r="F33" s="4" t="n"/>
    </row>
    <row r="34">
      <c r="A34" s="17" t="inlineStr">
        <is>
          <t>W-V1-TOL · INFORMATIVO</t>
        </is>
      </c>
      <c r="B34" s="11" t="inlineStr">
        <is>
          <t>0 ocorrências · nenhuma a reportar</t>
        </is>
      </c>
      <c r="C34" s="13" t="n"/>
      <c r="D34" s="13" t="n"/>
      <c r="E34" s="13" t="n"/>
      <c r="F34" s="13" t="n"/>
    </row>
    <row r="35">
      <c r="A35" s="18" t="inlineStr">
        <is>
          <t>W-V1-DUP · ALERTA_ESTRUTURAL</t>
        </is>
      </c>
      <c r="B35" s="14" t="inlineStr">
        <is>
          <t>44 ocorrência(s)</t>
        </is>
      </c>
      <c r="C35" s="16" t="n"/>
      <c r="D35" s="16" t="n"/>
      <c r="E35" s="16" t="n"/>
      <c r="F35" s="16" t="n"/>
    </row>
    <row r="36">
      <c r="A36" s="17" t="inlineStr">
        <is>
          <t>W-V1-AMB · ALERTA_ESTRUTURAL</t>
        </is>
      </c>
      <c r="B36" s="11" t="inlineStr">
        <is>
          <t>0 ocorrências · nenhuma a reportar</t>
        </is>
      </c>
      <c r="C36" s="13" t="n"/>
      <c r="D36" s="13" t="n"/>
      <c r="E36" s="13" t="n"/>
      <c r="F36" s="13" t="n"/>
    </row>
    <row r="37" ht="8" customHeight="1"/>
    <row r="38" ht="22" customHeight="1">
      <c r="A38" s="3" t="inlineStr">
        <is>
          <t>Status da Ponte · nota de resíduo</t>
        </is>
      </c>
      <c r="B38" s="4" t="n"/>
      <c r="C38" s="4" t="n"/>
      <c r="D38" s="4" t="n"/>
      <c r="E38" s="4" t="n"/>
      <c r="F38" s="4" t="n"/>
    </row>
    <row r="39" ht="22" customHeight="1">
      <c r="A39" s="3" t="inlineStr">
        <is>
          <t>(detalhes)</t>
        </is>
      </c>
      <c r="B39" s="4" t="n"/>
      <c r="C39" s="4" t="n"/>
      <c r="D39" s="4" t="n"/>
      <c r="E39" s="4" t="n"/>
      <c r="F39" s="4" t="n"/>
    </row>
    <row r="40">
      <c r="A40" s="17" t="inlineStr">
        <is>
          <t>Status geral</t>
        </is>
      </c>
      <c r="B40" s="11" t="inlineStr">
        <is>
          <t>✅ Todas as Pontes fecham dentro do épsilon aplicado</t>
        </is>
      </c>
      <c r="C40" s="13" t="n"/>
      <c r="D40" s="13" t="n"/>
      <c r="E40" s="13" t="n"/>
      <c r="F40" s="13" t="n"/>
    </row>
    <row r="41">
      <c r="A41" s="18" t="inlineStr">
        <is>
          <t>Resíduos</t>
        </is>
      </c>
      <c r="B41" s="14" t="inlineStr">
        <is>
          <t>Nenhum a reportar</t>
        </is>
      </c>
      <c r="C41" s="16" t="n"/>
      <c r="D41" s="16" t="n"/>
      <c r="E41" s="16" t="n"/>
      <c r="F41" s="16" t="n"/>
    </row>
    <row r="42" ht="8" customHeight="1"/>
  </sheetData>
  <mergeCells count="35">
    <mergeCell ref="B7:F7"/>
    <mergeCell ref="B16:F16"/>
    <mergeCell ref="B25:F25"/>
    <mergeCell ref="A27:F27"/>
    <mergeCell ref="B22:F22"/>
    <mergeCell ref="A3:F3"/>
    <mergeCell ref="B21:F21"/>
    <mergeCell ref="A33:F33"/>
    <mergeCell ref="B12:F12"/>
    <mergeCell ref="A14:F14"/>
    <mergeCell ref="B11:F11"/>
    <mergeCell ref="A32:F32"/>
    <mergeCell ref="B23:F23"/>
    <mergeCell ref="A4:F4"/>
    <mergeCell ref="B8:F8"/>
    <mergeCell ref="A20:F20"/>
    <mergeCell ref="B17:F17"/>
    <mergeCell ref="A38:F38"/>
    <mergeCell ref="B29:F29"/>
    <mergeCell ref="A28:F28"/>
    <mergeCell ref="A19:F19"/>
    <mergeCell ref="B34:F34"/>
    <mergeCell ref="B10:F10"/>
    <mergeCell ref="A39:F39"/>
    <mergeCell ref="B40:F40"/>
    <mergeCell ref="A15:F15"/>
    <mergeCell ref="B9:F9"/>
    <mergeCell ref="B30:F30"/>
    <mergeCell ref="B6:F6"/>
    <mergeCell ref="B24:F24"/>
    <mergeCell ref="A1:F1"/>
    <mergeCell ref="B5:F5"/>
    <mergeCell ref="B36:F3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2026-04-26T23:25:18Z</dcterms:created>
  <dcterms:modified xsi:type="dcterms:W3CDTF">2026-04-26T23:25:19Z</dcterms:modified>
</cp:coreProperties>
</file>