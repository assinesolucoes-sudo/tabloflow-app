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" sheetId="1" state="visible" r:id="rId1"/>
    <sheet name="Matriz de Confronto" sheetId="2" state="visible" r:id="rId2"/>
    <sheet name="Base Analítica" sheetId="3" state="visible" r:id="rId3"/>
    <sheet name="Diagnó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;-"/>
    <numFmt numFmtId="165" formatCode="0.00%;[Red]-0.00%;-"/>
    <numFmt numFmtId="166" formatCode="R$ #,##0.00;[Red](R$ #,##0.00);-"/>
  </numFmts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2F2F2F"/>
      <sz val="9"/>
    </font>
    <font>
      <name val="Calibri"/>
      <b val="1"/>
      <color rgb="00FFFFFF"/>
      <sz val="12"/>
    </font>
    <font>
      <name val="Calibri"/>
      <color rgb="002F2F2F"/>
      <sz val="9"/>
    </font>
    <font>
      <name val="Calibri"/>
      <b val="1"/>
      <color rgb="001F4E79"/>
      <sz val="16"/>
    </font>
    <font>
      <name val="Calibri"/>
      <b val="1"/>
      <color rgb="000B2D4C"/>
      <sz val="11"/>
    </font>
    <font>
      <name val="Calibri"/>
      <color rgb="002F2F2F"/>
      <sz val="11"/>
    </font>
    <font>
      <name val="Calibri"/>
      <b val="1"/>
      <color rgb="002F2F2F"/>
      <sz val="11"/>
    </font>
    <font>
      <name val="Calibri"/>
      <b val="1"/>
      <color rgb="007A5A00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EDF3F9"/>
        <bgColor rgb="00EDF3F9"/>
      </patternFill>
    </fill>
    <fill>
      <patternFill patternType="solid">
        <fgColor rgb="00FFF4D1"/>
        <bgColor rgb="00FFF4D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indent="1"/>
    </xf>
    <xf numFmtId="0" fontId="6" fillId="3" borderId="1" applyAlignment="1" pivotButton="0" quotePrefix="0" xfId="0">
      <alignment horizontal="right" vertical="center" indent="1"/>
    </xf>
    <xf numFmtId="0" fontId="6" fillId="3" borderId="1" applyAlignment="1" pivotButton="0" quotePrefix="0" xfId="0">
      <alignment horizontal="center" vertical="center" indent="1"/>
    </xf>
    <xf numFmtId="0" fontId="7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164" fontId="7" fillId="3" borderId="1" applyAlignment="1" pivotButton="0" quotePrefix="0" xfId="0">
      <alignment horizontal="center" vertical="center"/>
    </xf>
    <xf numFmtId="165" fontId="7" fillId="3" borderId="1" applyAlignment="1" pivotButton="0" quotePrefix="0" xfId="0">
      <alignment horizontal="right" vertical="center" indent="1"/>
    </xf>
    <xf numFmtId="0" fontId="7" fillId="4" borderId="1" applyAlignment="1" pivotButton="0" quotePrefix="0" xfId="0">
      <alignment horizontal="left" vertical="center" indent="1"/>
    </xf>
    <xf numFmtId="0" fontId="0" fillId="4" borderId="1" pivotButton="0" quotePrefix="0" xfId="0"/>
    <xf numFmtId="164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right" vertical="center" indent="1"/>
    </xf>
    <xf numFmtId="166" fontId="7" fillId="3" borderId="1" applyAlignment="1" pivotButton="0" quotePrefix="0" xfId="0">
      <alignment horizontal="right" vertical="center" indent="1"/>
    </xf>
    <xf numFmtId="166" fontId="7" fillId="4" borderId="1" applyAlignment="1" pivotButton="0" quotePrefix="0" xfId="0">
      <alignment horizontal="right" vertical="center" indent="1"/>
    </xf>
    <xf numFmtId="0" fontId="8" fillId="0" borderId="0" applyAlignment="1" pivotButton="0" quotePrefix="0" xfId="0">
      <alignment horizontal="left" vertical="center" wrapText="1"/>
    </xf>
    <xf numFmtId="166" fontId="0" fillId="0" borderId="0" pivotButton="0" quotePrefix="0" xfId="0"/>
    <xf numFmtId="0" fontId="7" fillId="4" borderId="1" applyAlignment="1" pivotButton="0" quotePrefix="0" xfId="0">
      <alignment horizontal="left" vertical="center" wrapText="1" indent="1"/>
    </xf>
    <xf numFmtId="165" fontId="0" fillId="0" borderId="0" pivotButton="0" quotePrefix="0" xfId="0"/>
    <xf numFmtId="0" fontId="8" fillId="5" borderId="0" pivotButton="0" quotePrefix="0" xfId="0"/>
    <xf numFmtId="0" fontId="9" fillId="6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left" vertical="center" wrapText="1" indent="1"/>
    </xf>
    <xf numFmtId="0" fontId="8" fillId="4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Variações em destaque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'Resumo Executivo'!B30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1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2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3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4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5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6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7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8"/>
            <spPr>
              <a:solidFill>
                <a:srgbClr val="5B9E5B"/>
              </a:solidFill>
              <a:ln>
                <a:prstDash val="solid"/>
              </a:ln>
            </spPr>
          </dPt>
          <cat>
            <numRef>
              <f>'Resumo Executivo'!$A$31:$A$39</f>
            </numRef>
          </cat>
          <val>
            <numRef>
              <f>'Resumo Executivo'!$B$31:$B$39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numFmt formatCode="R$ 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out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31</row>
      <rowOff>0</rowOff>
    </from>
    <ext cx="792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MatrizConfrontoV2" displayName="TMatrizConfrontoV2" ref="A3:G16" headerRowCount="1" totalsRowCount="1" totalsRowShown="1">
  <autoFilter ref="A3:G15"/>
  <tableColumns count="7">
    <tableColumn id="1" name="Produto"/>
    <tableColumn id="2" name="Valor · Janeiro 2025" totalsRowFunction="sum"/>
    <tableColumn id="3" name="Valor · Fevereiro 2025" totalsRowFunction="sum"/>
    <tableColumn id="4" name="Diferença" totalsRowFunction="sum"/>
    <tableColumn id="5" name="Variação %" totalsRowFunction="average"/>
    <tableColumn id="6" name="Situação estrutural"/>
    <tableColumn id="7" name="Leitura qualitativ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aseAnaliticaV2" displayName="TBaseAnaliticaV2" ref="A3:H16" headerRowCount="1" totalsRowCount="1" totalsRowShown="1">
  <autoFilter ref="A3:H15"/>
  <tableColumns count="8">
    <tableColumn id="1" name="Produto"/>
    <tableColumn id="2" name="Valor · Janeiro 2025" totalsRowFunction="sum"/>
    <tableColumn id="3" name="Valor · Fevereiro 2025" totalsRowFunction="sum"/>
    <tableColumn id="4" name="Diferença" totalsRowFunction="sum"/>
    <tableColumn id="5" name="Variação %" totalsRowFunction="average"/>
    <tableColumn id="6" name="Situação estrutural"/>
    <tableColumn id="7" name="Leitura qualitativa"/>
    <tableColumn id="8" name="Observaçõ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22" customWidth="1" min="2" max="2"/>
    <col width="24" customWidth="1" min="3" max="3"/>
    <col width="21" customWidth="1" min="4" max="4"/>
    <col width="23" customWidth="1" min="5" max="5"/>
    <col width="14" customWidth="1" min="6" max="6"/>
    <col width="12" customWidth="1" min="7" max="7"/>
  </cols>
  <sheetData>
    <row r="1" ht="28" customHeight="1">
      <c r="A1" s="1" t="inlineStr">
        <is>
          <t>Análise comparativa · Janeiro 2025 × Fevereiro 2025</t>
        </is>
      </c>
    </row>
    <row r="2">
      <c r="A2" s="2" t="inlineStr">
        <is>
          <t>Gerado em 24/04/2026 às 21:26</t>
        </is>
      </c>
    </row>
    <row r="3"/>
    <row r="4" ht="22" customHeight="1">
      <c r="A4" s="3" t="inlineStr">
        <is>
          <t>Números principais</t>
        </is>
      </c>
      <c r="B4" s="4" t="n"/>
      <c r="C4" s="4" t="n"/>
      <c r="D4" s="4" t="n"/>
      <c r="E4" s="4" t="n"/>
      <c r="F4" s="4" t="n"/>
      <c r="G4" s="4" t="n"/>
      <c r="H4" s="4" t="n"/>
    </row>
    <row r="5" ht="22" customHeight="1">
      <c r="A5" s="5" t="inlineStr">
        <is>
          <t>Total · Janeiro 2025</t>
        </is>
      </c>
      <c r="B5" s="4" t="n"/>
      <c r="C5" s="5" t="inlineStr">
        <is>
          <t>Total · Fevereiro 2025</t>
        </is>
      </c>
      <c r="D5" s="4" t="n"/>
      <c r="E5" s="5" t="inlineStr">
        <is>
          <t>Diferença</t>
        </is>
      </c>
      <c r="F5" s="4" t="n"/>
      <c r="G5" s="5" t="inlineStr">
        <is>
          <t>Variação %</t>
        </is>
      </c>
      <c r="H5" s="4" t="n"/>
    </row>
    <row r="6" ht="32" customHeight="1">
      <c r="A6" s="6" t="inlineStr">
        <is>
          <t>R$ 31.686,44</t>
        </is>
      </c>
      <c r="B6" s="4" t="n"/>
      <c r="C6" s="6" t="inlineStr">
        <is>
          <t>R$ 24.598,63</t>
        </is>
      </c>
      <c r="D6" s="4" t="n"/>
      <c r="E6" s="6" t="inlineStr">
        <is>
          <t>(R$ 7.087,81)</t>
        </is>
      </c>
      <c r="F6" s="4" t="n"/>
      <c r="G6" s="6" t="inlineStr">
        <is>
          <t>-22,37%</t>
        </is>
      </c>
      <c r="H6" s="4" t="n"/>
    </row>
    <row r="7" ht="8" customHeight="1"/>
    <row r="8" ht="22" customHeight="1">
      <c r="A8" s="3" t="inlineStr">
        <is>
          <t>Como os casos se distribuem</t>
        </is>
      </c>
      <c r="B8" s="4" t="n"/>
      <c r="C8" s="4" t="n"/>
      <c r="D8" s="4" t="n"/>
      <c r="E8" s="4" t="n"/>
      <c r="F8" s="4" t="n"/>
      <c r="G8" s="4" t="n"/>
      <c r="H8" s="4" t="n"/>
    </row>
    <row r="9">
      <c r="A9" s="7" t="inlineStr">
        <is>
          <t>Categoria</t>
        </is>
      </c>
      <c r="B9" s="8" t="n"/>
      <c r="C9" s="8" t="n"/>
      <c r="D9" s="8" t="n"/>
      <c r="E9" s="9" t="inlineStr">
        <is>
          <t>Casos</t>
        </is>
      </c>
      <c r="F9" s="8" t="inlineStr">
        <is>
          <t>Participação</t>
        </is>
      </c>
      <c r="G9" s="8" t="n"/>
      <c r="H9" s="8" t="n"/>
    </row>
    <row r="10">
      <c r="A10" s="10" t="inlineStr">
        <is>
          <t>Presente nos dois lados</t>
        </is>
      </c>
      <c r="B10" s="11" t="n"/>
      <c r="C10" s="11" t="n"/>
      <c r="D10" s="11" t="n"/>
      <c r="E10" s="12" t="n">
        <v>9</v>
      </c>
      <c r="F10" s="13" t="n">
        <v>0.75</v>
      </c>
      <c r="G10" s="11" t="n"/>
      <c r="H10" s="11" t="n"/>
    </row>
    <row r="11">
      <c r="A11" s="14" t="inlineStr">
        <is>
          <t>Apareceu no Comparado</t>
        </is>
      </c>
      <c r="B11" s="15" t="n"/>
      <c r="C11" s="15" t="n"/>
      <c r="D11" s="15" t="n"/>
      <c r="E11" s="16" t="n">
        <v>0</v>
      </c>
      <c r="F11" s="17" t="n">
        <v>0</v>
      </c>
      <c r="G11" s="15" t="n"/>
      <c r="H11" s="15" t="n"/>
    </row>
    <row r="12">
      <c r="A12" s="10" t="inlineStr">
        <is>
          <t>Saiu da Origem</t>
        </is>
      </c>
      <c r="B12" s="11" t="n"/>
      <c r="C12" s="11" t="n"/>
      <c r="D12" s="11" t="n"/>
      <c r="E12" s="12" t="n">
        <v>3</v>
      </c>
      <c r="F12" s="13" t="n">
        <v>0.25</v>
      </c>
      <c r="G12" s="11" t="n"/>
      <c r="H12" s="11" t="n"/>
    </row>
    <row r="13">
      <c r="A13" s="14" t="inlineStr">
        <is>
          <t>Sem valor na Origem</t>
        </is>
      </c>
      <c r="B13" s="15" t="n"/>
      <c r="C13" s="15" t="n"/>
      <c r="D13" s="15" t="n"/>
      <c r="E13" s="16" t="n">
        <v>0</v>
      </c>
      <c r="F13" s="17" t="n">
        <v>0</v>
      </c>
      <c r="G13" s="15" t="n"/>
      <c r="H13" s="15" t="n"/>
    </row>
    <row r="14">
      <c r="A14" s="10" t="inlineStr">
        <is>
          <t>Sem valor no Comparado</t>
        </is>
      </c>
      <c r="B14" s="11" t="n"/>
      <c r="C14" s="11" t="n"/>
      <c r="D14" s="11" t="n"/>
      <c r="E14" s="12" t="n">
        <v>0</v>
      </c>
      <c r="F14" s="13" t="n">
        <v>0</v>
      </c>
      <c r="G14" s="11" t="n"/>
      <c r="H14" s="11" t="n"/>
    </row>
    <row r="15">
      <c r="A15" s="14" t="inlineStr">
        <is>
          <t>Sem valor nos dois lados</t>
        </is>
      </c>
      <c r="B15" s="15" t="n"/>
      <c r="C15" s="15" t="n"/>
      <c r="D15" s="15" t="n"/>
      <c r="E15" s="16" t="n">
        <v>0</v>
      </c>
      <c r="F15" s="17" t="n">
        <v>0</v>
      </c>
      <c r="G15" s="15" t="n"/>
      <c r="H15" s="15" t="n"/>
    </row>
    <row r="16" ht="8" customHeight="1"/>
    <row r="17" ht="22" customHeight="1">
      <c r="A17" s="3" t="inlineStr">
        <is>
          <t>Variações em destaque</t>
        </is>
      </c>
      <c r="B17" s="4" t="n"/>
      <c r="C17" s="4" t="n"/>
      <c r="D17" s="4" t="n"/>
      <c r="E17" s="4" t="n"/>
      <c r="F17" s="4" t="n"/>
      <c r="G17" s="4" t="n"/>
      <c r="H17" s="4" t="n"/>
    </row>
    <row r="18">
      <c r="A18" s="7" t="inlineStr">
        <is>
          <t>Produto</t>
        </is>
      </c>
      <c r="B18" s="8" t="inlineStr">
        <is>
          <t>Valor · Janeiro 2025</t>
        </is>
      </c>
      <c r="C18" s="8" t="inlineStr">
        <is>
          <t>Valor · Fevereiro 2025</t>
        </is>
      </c>
      <c r="D18" s="8" t="inlineStr">
        <is>
          <t>Diferença</t>
        </is>
      </c>
      <c r="E18" s="8" t="inlineStr">
        <is>
          <t>Variação %</t>
        </is>
      </c>
    </row>
    <row r="19">
      <c r="A19" s="10" t="inlineStr">
        <is>
          <t>Jaqueta Couro</t>
        </is>
      </c>
      <c r="B19" s="18" t="n">
        <v>5375.38</v>
      </c>
      <c r="C19" s="18" t="n">
        <v>10599.37</v>
      </c>
      <c r="D19" s="18" t="n">
        <v>5223.989999999999</v>
      </c>
      <c r="E19" s="13" t="n">
        <v>0.9718364097049881</v>
      </c>
    </row>
    <row r="20">
      <c r="A20" s="14" t="inlineStr">
        <is>
          <t>Camiseta Básica</t>
        </is>
      </c>
      <c r="B20" s="19" t="n">
        <v>2771.55</v>
      </c>
      <c r="C20" s="19" t="n">
        <v>2097.84</v>
      </c>
      <c r="D20" s="19" t="n">
        <v>-673.71</v>
      </c>
      <c r="E20" s="17" t="n">
        <v>-0.2430805866753261</v>
      </c>
    </row>
    <row r="21">
      <c r="A21" s="10" t="inlineStr">
        <is>
          <t>Sandália Tiras</t>
        </is>
      </c>
      <c r="B21" s="18" t="n">
        <v>2688.26</v>
      </c>
      <c r="C21" s="18" t="n">
        <v>2070.59</v>
      </c>
      <c r="D21" s="18" t="n">
        <v>-617.6700000000001</v>
      </c>
      <c r="E21" s="13" t="n">
        <v>-0.229765722065574</v>
      </c>
    </row>
    <row r="22">
      <c r="A22" s="14" t="inlineStr">
        <is>
          <t>Sapato Social</t>
        </is>
      </c>
      <c r="B22" s="19" t="n">
        <v>874.9200000000001</v>
      </c>
      <c r="C22" s="19" t="n">
        <v>1423.59</v>
      </c>
      <c r="D22" s="19" t="n">
        <v>548.6700000000001</v>
      </c>
      <c r="E22" s="17" t="n">
        <v>0.6271087642298725</v>
      </c>
    </row>
    <row r="23">
      <c r="A23" s="10" t="inlineStr">
        <is>
          <t>Vestido Floral</t>
        </is>
      </c>
      <c r="B23" s="18" t="n">
        <v>235.68</v>
      </c>
      <c r="C23" s="18" t="n">
        <v>492.31</v>
      </c>
      <c r="D23" s="18" t="n">
        <v>256.63</v>
      </c>
      <c r="E23" s="13" t="n">
        <v>1.088891717583164</v>
      </c>
    </row>
    <row r="24">
      <c r="A24" s="14" t="inlineStr">
        <is>
          <t>Polo Lisa</t>
        </is>
      </c>
      <c r="B24" s="19" t="n">
        <v>2611.33</v>
      </c>
      <c r="C24" s="19" t="n">
        <v>2407.22</v>
      </c>
      <c r="D24" s="19" t="n">
        <v>-204.1099999999997</v>
      </c>
      <c r="E24" s="17" t="n">
        <v>-0.07816323482669739</v>
      </c>
    </row>
    <row r="25">
      <c r="A25" s="10" t="inlineStr">
        <is>
          <t>Tênis Casual</t>
        </is>
      </c>
      <c r="B25" s="18" t="n">
        <v>4342.7</v>
      </c>
      <c r="C25" s="18" t="n">
        <v>4172.38</v>
      </c>
      <c r="D25" s="18" t="n">
        <v>-170.3199999999997</v>
      </c>
      <c r="E25" s="13" t="n">
        <v>-0.03921984019158582</v>
      </c>
    </row>
    <row r="26">
      <c r="A26" s="14" t="inlineStr">
        <is>
          <t>Calça Jeans</t>
        </is>
      </c>
      <c r="B26" s="19" t="n">
        <v>655.86</v>
      </c>
      <c r="C26" s="19" t="n">
        <v>747.6999999999999</v>
      </c>
      <c r="D26" s="19" t="n">
        <v>91.83999999999992</v>
      </c>
      <c r="E26" s="17" t="n">
        <v>0.1400298844265543</v>
      </c>
    </row>
    <row r="27">
      <c r="A27" s="10" t="inlineStr">
        <is>
          <t>Bermuda Surf</t>
        </is>
      </c>
      <c r="B27" s="18" t="n">
        <v>549.05</v>
      </c>
      <c r="C27" s="18" t="n">
        <v>587.63</v>
      </c>
      <c r="D27" s="18" t="n">
        <v>38.58000000000004</v>
      </c>
      <c r="E27" s="13" t="n">
        <v>0.07026682451507157</v>
      </c>
    </row>
    <row r="28" ht="8" customHeight="1"/>
    <row r="29"/>
    <row r="30">
      <c r="A30" s="20" t="inlineStr">
        <is>
          <t>Rótulo</t>
        </is>
      </c>
      <c r="B30" s="20" t="inlineStr">
        <is>
          <t>Diferença</t>
        </is>
      </c>
    </row>
    <row r="31">
      <c r="A31" t="inlineStr">
        <is>
          <t>Jaqueta Couro</t>
        </is>
      </c>
      <c r="B31" s="21" t="n">
        <v>5223.989999999999</v>
      </c>
    </row>
    <row r="32">
      <c r="A32" t="inlineStr">
        <is>
          <t>Camiseta Básica</t>
        </is>
      </c>
      <c r="B32" s="21" t="n">
        <v>-673.71</v>
      </c>
    </row>
    <row r="33">
      <c r="A33" t="inlineStr">
        <is>
          <t>Sandália Tiras</t>
        </is>
      </c>
      <c r="B33" s="21" t="n">
        <v>-617.6700000000001</v>
      </c>
    </row>
    <row r="34">
      <c r="A34" t="inlineStr">
        <is>
          <t>Sapato Social</t>
        </is>
      </c>
      <c r="B34" s="21" t="n">
        <v>548.6700000000001</v>
      </c>
    </row>
    <row r="35">
      <c r="A35" t="inlineStr">
        <is>
          <t>Vestido Floral</t>
        </is>
      </c>
      <c r="B35" s="21" t="n">
        <v>256.63</v>
      </c>
    </row>
    <row r="36">
      <c r="A36" t="inlineStr">
        <is>
          <t>Polo Lisa</t>
        </is>
      </c>
      <c r="B36" s="21" t="n">
        <v>-204.1099999999997</v>
      </c>
    </row>
    <row r="37">
      <c r="A37" t="inlineStr">
        <is>
          <t>Tênis Casual</t>
        </is>
      </c>
      <c r="B37" s="21" t="n">
        <v>-170.3199999999997</v>
      </c>
    </row>
    <row r="38">
      <c r="A38" t="inlineStr">
        <is>
          <t>Calça Jeans</t>
        </is>
      </c>
      <c r="B38" s="21" t="n">
        <v>91.83999999999992</v>
      </c>
    </row>
    <row r="39">
      <c r="A39" t="inlineStr">
        <is>
          <t>Bermuda Surf</t>
        </is>
      </c>
      <c r="B39" s="21" t="n">
        <v>38.58000000000004</v>
      </c>
    </row>
    <row r="40"/>
    <row r="41"/>
    <row r="42" ht="22" customHeight="1">
      <c r="A42" s="3" t="inlineStr">
        <is>
          <t>Leitura qualitativa</t>
        </is>
      </c>
      <c r="B42" s="4" t="n"/>
      <c r="C42" s="4" t="n"/>
      <c r="D42" s="4" t="n"/>
      <c r="E42" s="4" t="n"/>
      <c r="F42" s="4" t="n"/>
      <c r="G42" s="4" t="n"/>
      <c r="H42" s="4" t="n"/>
    </row>
    <row r="43">
      <c r="A43" s="22" t="inlineStr">
        <is>
          <t>A maior parte dos casos ficou estável entre os dois lados.</t>
        </is>
      </c>
      <c r="B43" s="15" t="n"/>
      <c r="C43" s="15" t="n"/>
      <c r="D43" s="15" t="n"/>
      <c r="E43" s="15" t="n"/>
      <c r="F43" s="15" t="n"/>
      <c r="G43" s="15" t="n"/>
      <c r="H43" s="15" t="n"/>
    </row>
    <row r="44" ht="8" customHeight="1"/>
    <row r="45" ht="22" customHeight="1">
      <c r="A45" s="3" t="inlineStr">
        <is>
          <t>Qualidade estrutural</t>
        </is>
      </c>
      <c r="B45" s="4" t="n"/>
      <c r="C45" s="4" t="n"/>
      <c r="D45" s="4" t="n"/>
      <c r="E45" s="4" t="n"/>
      <c r="F45" s="4" t="n"/>
      <c r="G45" s="4" t="n"/>
      <c r="H45" s="4" t="n"/>
    </row>
    <row r="46">
      <c r="A46" s="22" t="inlineStr">
        <is>
          <t>A análise gerou 1 aviso estrutural. Nenhum bloqueio foi escapado.</t>
        </is>
      </c>
      <c r="B46" s="15" t="n"/>
      <c r="C46" s="15" t="n"/>
      <c r="D46" s="15" t="n"/>
      <c r="E46" s="15" t="n"/>
      <c r="F46" s="15" t="n"/>
      <c r="G46" s="15" t="n"/>
      <c r="H46" s="15" t="n"/>
    </row>
    <row r="47" ht="8" customHeight="1"/>
  </sheetData>
  <mergeCells count="31">
    <mergeCell ref="C6:D6"/>
    <mergeCell ref="C5:D5"/>
    <mergeCell ref="E5:F5"/>
    <mergeCell ref="A1:H1"/>
    <mergeCell ref="A45:H45"/>
    <mergeCell ref="A10:D10"/>
    <mergeCell ref="A6:B6"/>
    <mergeCell ref="A13:D13"/>
    <mergeCell ref="A9:D9"/>
    <mergeCell ref="F13:H13"/>
    <mergeCell ref="A15:D15"/>
    <mergeCell ref="G6:H6"/>
    <mergeCell ref="A11:D11"/>
    <mergeCell ref="F9:H9"/>
    <mergeCell ref="A46:H46"/>
    <mergeCell ref="E6:F6"/>
    <mergeCell ref="F14:H14"/>
    <mergeCell ref="A2:H2"/>
    <mergeCell ref="A5:B5"/>
    <mergeCell ref="G5:H5"/>
    <mergeCell ref="A42:H42"/>
    <mergeCell ref="A8:H8"/>
    <mergeCell ref="F11:H11"/>
    <mergeCell ref="A17:H17"/>
    <mergeCell ref="A4:H4"/>
    <mergeCell ref="F10:H10"/>
    <mergeCell ref="A12:D12"/>
    <mergeCell ref="A43:H43"/>
    <mergeCell ref="F12:H12"/>
    <mergeCell ref="F15:H15"/>
    <mergeCell ref="A14:D1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24" customWidth="1" min="3" max="3"/>
    <col width="23" customWidth="1" min="4" max="4"/>
    <col width="23" customWidth="1" min="5" max="5"/>
    <col width="25" customWidth="1" min="6" max="6"/>
    <col width="21" customWidth="1" min="7" max="7"/>
  </cols>
  <sheetData>
    <row r="1" ht="28" customHeight="1">
      <c r="A1" s="1" t="inlineStr">
        <is>
          <t>Matriz de Confronto</t>
        </is>
      </c>
    </row>
    <row r="2"/>
    <row r="3">
      <c r="A3" s="20" t="inlineStr">
        <is>
          <t>Produto</t>
        </is>
      </c>
      <c r="B3" s="20" t="inlineStr">
        <is>
          <t>Valor · Janeiro 2025</t>
        </is>
      </c>
      <c r="C3" s="20" t="inlineStr">
        <is>
          <t>Valor · Fevereiro 2025</t>
        </is>
      </c>
      <c r="D3" s="20" t="inlineStr">
        <is>
          <t>Diferença</t>
        </is>
      </c>
      <c r="E3" s="20" t="inlineStr">
        <is>
          <t>Variação %</t>
        </is>
      </c>
      <c r="F3" s="20" t="inlineStr">
        <is>
          <t>Situação estrutural</t>
        </is>
      </c>
      <c r="G3" s="20" t="inlineStr">
        <is>
          <t>Leitura qualitativa</t>
        </is>
      </c>
    </row>
    <row r="4">
      <c r="A4" t="inlineStr">
        <is>
          <t>Bermuda Surf</t>
        </is>
      </c>
      <c r="B4" s="21" t="n">
        <v>549.05</v>
      </c>
      <c r="C4" s="21" t="n">
        <v>587.63</v>
      </c>
      <c r="D4" s="21" t="n">
        <v>38.58000000000004</v>
      </c>
      <c r="E4" s="23" t="n">
        <v>0.07026682451507157</v>
      </c>
      <c r="F4" s="24" t="inlineStr">
        <is>
          <t>Presente nos dois lados</t>
        </is>
      </c>
      <c r="G4" s="24" t="inlineStr">
        <is>
          <t>Aumentou</t>
        </is>
      </c>
    </row>
    <row r="5">
      <c r="A5" t="inlineStr">
        <is>
          <t>Boné Aba Reta</t>
        </is>
      </c>
      <c r="B5" s="21" t="n">
        <v>5861.12</v>
      </c>
      <c r="C5" s="21" t="inlineStr">
        <is>
          <t>—</t>
        </is>
      </c>
      <c r="D5" s="21" t="inlineStr">
        <is>
          <t>—</t>
        </is>
      </c>
      <c r="E5" s="23" t="inlineStr">
        <is>
          <t>—</t>
        </is>
      </c>
      <c r="F5" s="25" t="inlineStr">
        <is>
          <t>Saiu da Origem</t>
        </is>
      </c>
      <c r="G5" s="24" t="inlineStr">
        <is>
          <t>Não aplicável</t>
        </is>
      </c>
    </row>
    <row r="6">
      <c r="A6" t="inlineStr">
        <is>
          <t>Calça Jeans</t>
        </is>
      </c>
      <c r="B6" s="21" t="n">
        <v>655.86</v>
      </c>
      <c r="C6" s="21" t="n">
        <v>747.6999999999999</v>
      </c>
      <c r="D6" s="21" t="n">
        <v>91.83999999999992</v>
      </c>
      <c r="E6" s="23" t="n">
        <v>0.1400298844265543</v>
      </c>
      <c r="F6" s="24" t="inlineStr">
        <is>
          <t>Presente nos dois lados</t>
        </is>
      </c>
      <c r="G6" s="24" t="inlineStr">
        <is>
          <t>Aumentou</t>
        </is>
      </c>
    </row>
    <row r="7">
      <c r="A7" t="inlineStr">
        <is>
          <t>Camiseta Básica</t>
        </is>
      </c>
      <c r="B7" s="21" t="n">
        <v>2771.55</v>
      </c>
      <c r="C7" s="21" t="n">
        <v>2097.84</v>
      </c>
      <c r="D7" s="21" t="n">
        <v>-673.71</v>
      </c>
      <c r="E7" s="23" t="n">
        <v>-0.2430805866753261</v>
      </c>
      <c r="F7" s="24" t="inlineStr">
        <is>
          <t>Presente nos dois lados</t>
        </is>
      </c>
      <c r="G7" s="24" t="inlineStr">
        <is>
          <t>Reduziu</t>
        </is>
      </c>
    </row>
    <row r="8">
      <c r="A8" t="inlineStr">
        <is>
          <t>Cinto Preto</t>
        </is>
      </c>
      <c r="B8" s="21" t="n">
        <v>4935.81</v>
      </c>
      <c r="C8" s="21" t="inlineStr">
        <is>
          <t>—</t>
        </is>
      </c>
      <c r="D8" s="21" t="inlineStr">
        <is>
          <t>—</t>
        </is>
      </c>
      <c r="E8" s="23" t="inlineStr">
        <is>
          <t>—</t>
        </is>
      </c>
      <c r="F8" s="25" t="inlineStr">
        <is>
          <t>Saiu da Origem</t>
        </is>
      </c>
      <c r="G8" s="24" t="inlineStr">
        <is>
          <t>Não aplicável</t>
        </is>
      </c>
    </row>
    <row r="9">
      <c r="A9" t="inlineStr">
        <is>
          <t>Jaqueta Couro</t>
        </is>
      </c>
      <c r="B9" s="21" t="n">
        <v>5375.38</v>
      </c>
      <c r="C9" s="21" t="n">
        <v>10599.37</v>
      </c>
      <c r="D9" s="21" t="n">
        <v>5223.989999999999</v>
      </c>
      <c r="E9" s="23" t="n">
        <v>0.9718364097049881</v>
      </c>
      <c r="F9" s="24" t="inlineStr">
        <is>
          <t>Presente nos dois lados</t>
        </is>
      </c>
      <c r="G9" s="24" t="inlineStr">
        <is>
          <t>Aumentou</t>
        </is>
      </c>
    </row>
    <row r="10">
      <c r="A10" t="inlineStr">
        <is>
          <t>Meia Kit 3</t>
        </is>
      </c>
      <c r="B10" s="21" t="n">
        <v>784.78</v>
      </c>
      <c r="C10" s="21" t="inlineStr">
        <is>
          <t>—</t>
        </is>
      </c>
      <c r="D10" s="21" t="inlineStr">
        <is>
          <t>—</t>
        </is>
      </c>
      <c r="E10" s="23" t="inlineStr">
        <is>
          <t>—</t>
        </is>
      </c>
      <c r="F10" s="25" t="inlineStr">
        <is>
          <t>Saiu da Origem</t>
        </is>
      </c>
      <c r="G10" s="24" t="inlineStr">
        <is>
          <t>Não aplicável</t>
        </is>
      </c>
    </row>
    <row r="11">
      <c r="A11" t="inlineStr">
        <is>
          <t>Polo Lisa</t>
        </is>
      </c>
      <c r="B11" s="21" t="n">
        <v>2611.33</v>
      </c>
      <c r="C11" s="21" t="n">
        <v>2407.22</v>
      </c>
      <c r="D11" s="21" t="n">
        <v>-204.1099999999997</v>
      </c>
      <c r="E11" s="23" t="n">
        <v>-0.07816323482669739</v>
      </c>
      <c r="F11" s="24" t="inlineStr">
        <is>
          <t>Presente nos dois lados</t>
        </is>
      </c>
      <c r="G11" s="24" t="inlineStr">
        <is>
          <t>Reduziu</t>
        </is>
      </c>
    </row>
    <row r="12">
      <c r="A12" t="inlineStr">
        <is>
          <t>Sandália Tiras</t>
        </is>
      </c>
      <c r="B12" s="21" t="n">
        <v>2688.26</v>
      </c>
      <c r="C12" s="21" t="n">
        <v>2070.59</v>
      </c>
      <c r="D12" s="21" t="n">
        <v>-617.6700000000001</v>
      </c>
      <c r="E12" s="23" t="n">
        <v>-0.229765722065574</v>
      </c>
      <c r="F12" s="24" t="inlineStr">
        <is>
          <t>Presente nos dois lados</t>
        </is>
      </c>
      <c r="G12" s="24" t="inlineStr">
        <is>
          <t>Reduziu</t>
        </is>
      </c>
    </row>
    <row r="13">
      <c r="A13" t="inlineStr">
        <is>
          <t>Sapato Social</t>
        </is>
      </c>
      <c r="B13" s="21" t="n">
        <v>874.9200000000001</v>
      </c>
      <c r="C13" s="21" t="n">
        <v>1423.59</v>
      </c>
      <c r="D13" s="21" t="n">
        <v>548.6700000000001</v>
      </c>
      <c r="E13" s="23" t="n">
        <v>0.6271087642298725</v>
      </c>
      <c r="F13" s="24" t="inlineStr">
        <is>
          <t>Presente nos dois lados</t>
        </is>
      </c>
      <c r="G13" s="24" t="inlineStr">
        <is>
          <t>Aumentou</t>
        </is>
      </c>
    </row>
    <row r="14">
      <c r="A14" t="inlineStr">
        <is>
          <t>Tênis Casual</t>
        </is>
      </c>
      <c r="B14" s="21" t="n">
        <v>4342.7</v>
      </c>
      <c r="C14" s="21" t="n">
        <v>4172.38</v>
      </c>
      <c r="D14" s="21" t="n">
        <v>-170.3199999999997</v>
      </c>
      <c r="E14" s="23" t="n">
        <v>-0.03921984019158582</v>
      </c>
      <c r="F14" s="24" t="inlineStr">
        <is>
          <t>Presente nos dois lados</t>
        </is>
      </c>
      <c r="G14" s="24" t="inlineStr">
        <is>
          <t>Reduziu</t>
        </is>
      </c>
    </row>
    <row r="15">
      <c r="A15" t="inlineStr">
        <is>
          <t>Vestido Floral</t>
        </is>
      </c>
      <c r="B15" s="21" t="n">
        <v>235.68</v>
      </c>
      <c r="C15" s="21" t="n">
        <v>492.31</v>
      </c>
      <c r="D15" s="21" t="n">
        <v>256.63</v>
      </c>
      <c r="E15" s="23" t="n">
        <v>1.088891717583164</v>
      </c>
      <c r="F15" s="24" t="inlineStr">
        <is>
          <t>Presente nos dois lados</t>
        </is>
      </c>
      <c r="G15" s="24" t="inlineStr">
        <is>
          <t>Aumentou</t>
        </is>
      </c>
    </row>
    <row r="16">
      <c r="B16" s="21">
        <f>SUBTOTAL(109,B4:B15)</f>
        <v/>
      </c>
      <c r="C16" s="21">
        <f>SUBTOTAL(109,C4:C15)</f>
        <v/>
      </c>
      <c r="D16" s="21">
        <f>SUBTOTAL(109,D4:D15)</f>
        <v/>
      </c>
      <c r="E16" s="23">
        <f>SUBTOTAL(101,E4:E15)</f>
        <v/>
      </c>
    </row>
  </sheetData>
  <mergeCells count="1">
    <mergeCell ref="A1:G1"/>
  </mergeCells>
  <conditionalFormatting sqref="D4:D15">
    <cfRule type="colorScale" priority="1">
      <colorScale>
        <cfvo type="min"/>
        <cfvo type="percentile" val="50"/>
        <cfvo type="max"/>
        <color rgb="00F4CCCC"/>
        <color rgb="00EDF3F9"/>
        <color rgb="00CFE2F3"/>
      </colorScale>
    </cfRule>
  </conditionalFormatting>
  <conditionalFormatting sqref="E4:E15">
    <cfRule type="colorScale" priority="2">
      <colorScale>
        <cfvo type="min"/>
        <cfvo type="percentile" val="50"/>
        <cfvo type="max"/>
        <color rgb="00F4CCCC"/>
        <color rgb="00EDF3F9"/>
        <color rgb="00CFE2F3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23" customWidth="1" min="4" max="4"/>
    <col width="23" customWidth="1" min="5" max="5"/>
    <col width="25" customWidth="1" min="6" max="6"/>
    <col width="21" customWidth="1" min="7" max="7"/>
    <col width="16" customWidth="1" min="8" max="8"/>
  </cols>
  <sheetData>
    <row r="1" ht="28" customHeight="1">
      <c r="A1" s="1" t="inlineStr">
        <is>
          <t>Base Analítica</t>
        </is>
      </c>
    </row>
    <row r="2"/>
    <row r="3">
      <c r="A3" s="20" t="inlineStr">
        <is>
          <t>Produto</t>
        </is>
      </c>
      <c r="B3" s="20" t="inlineStr">
        <is>
          <t>Valor · Janeiro 2025</t>
        </is>
      </c>
      <c r="C3" s="20" t="inlineStr">
        <is>
          <t>Valor · Fevereiro 2025</t>
        </is>
      </c>
      <c r="D3" s="20" t="inlineStr">
        <is>
          <t>Diferença</t>
        </is>
      </c>
      <c r="E3" s="20" t="inlineStr">
        <is>
          <t>Variação %</t>
        </is>
      </c>
      <c r="F3" s="20" t="inlineStr">
        <is>
          <t>Situação estrutural</t>
        </is>
      </c>
      <c r="G3" s="20" t="inlineStr">
        <is>
          <t>Leitura qualitativa</t>
        </is>
      </c>
      <c r="H3" s="20" t="inlineStr">
        <is>
          <t>Observações</t>
        </is>
      </c>
    </row>
    <row r="4">
      <c r="A4" t="inlineStr">
        <is>
          <t>Bermuda Surf</t>
        </is>
      </c>
      <c r="B4" s="21" t="n">
        <v>549.05</v>
      </c>
      <c r="C4" s="21" t="n">
        <v>587.63</v>
      </c>
      <c r="D4" s="21" t="n">
        <v>38.58000000000004</v>
      </c>
      <c r="E4" s="23" t="n">
        <v>0.07026682451507157</v>
      </c>
      <c r="F4" s="24" t="inlineStr">
        <is>
          <t>Presente nos dois lados</t>
        </is>
      </c>
      <c r="G4" s="24" t="inlineStr">
        <is>
          <t>Aumentou</t>
        </is>
      </c>
      <c r="H4" s="26" t="inlineStr">
        <is>
          <t>—</t>
        </is>
      </c>
    </row>
    <row r="5">
      <c r="A5" t="inlineStr">
        <is>
          <t>Boné Aba Reta</t>
        </is>
      </c>
      <c r="B5" s="21" t="n">
        <v>5861.12</v>
      </c>
      <c r="C5" s="21" t="inlineStr">
        <is>
          <t>—</t>
        </is>
      </c>
      <c r="D5" s="21" t="inlineStr">
        <is>
          <t>—</t>
        </is>
      </c>
      <c r="E5" s="23" t="inlineStr">
        <is>
          <t>—</t>
        </is>
      </c>
      <c r="F5" s="25" t="inlineStr">
        <is>
          <t>Saiu da Origem</t>
        </is>
      </c>
      <c r="G5" s="24" t="inlineStr">
        <is>
          <t>Não aplicável</t>
        </is>
      </c>
      <c r="H5" s="26" t="inlineStr">
        <is>
          <t>Saiu da Origem</t>
        </is>
      </c>
    </row>
    <row r="6">
      <c r="A6" t="inlineStr">
        <is>
          <t>Calça Jeans</t>
        </is>
      </c>
      <c r="B6" s="21" t="n">
        <v>655.86</v>
      </c>
      <c r="C6" s="21" t="n">
        <v>747.6999999999999</v>
      </c>
      <c r="D6" s="21" t="n">
        <v>91.83999999999992</v>
      </c>
      <c r="E6" s="23" t="n">
        <v>0.1400298844265543</v>
      </c>
      <c r="F6" s="24" t="inlineStr">
        <is>
          <t>Presente nos dois lados</t>
        </is>
      </c>
      <c r="G6" s="24" t="inlineStr">
        <is>
          <t>Aumentou</t>
        </is>
      </c>
      <c r="H6" s="26" t="inlineStr">
        <is>
          <t>—</t>
        </is>
      </c>
    </row>
    <row r="7">
      <c r="A7" t="inlineStr">
        <is>
          <t>Camiseta Básica</t>
        </is>
      </c>
      <c r="B7" s="21" t="n">
        <v>2771.55</v>
      </c>
      <c r="C7" s="21" t="n">
        <v>2097.84</v>
      </c>
      <c r="D7" s="21" t="n">
        <v>-673.71</v>
      </c>
      <c r="E7" s="23" t="n">
        <v>-0.2430805866753261</v>
      </c>
      <c r="F7" s="24" t="inlineStr">
        <is>
          <t>Presente nos dois lados</t>
        </is>
      </c>
      <c r="G7" s="24" t="inlineStr">
        <is>
          <t>Reduziu</t>
        </is>
      </c>
      <c r="H7" s="26" t="inlineStr">
        <is>
          <t>—</t>
        </is>
      </c>
    </row>
    <row r="8">
      <c r="A8" t="inlineStr">
        <is>
          <t>Cinto Preto</t>
        </is>
      </c>
      <c r="B8" s="21" t="n">
        <v>4935.81</v>
      </c>
      <c r="C8" s="21" t="inlineStr">
        <is>
          <t>—</t>
        </is>
      </c>
      <c r="D8" s="21" t="inlineStr">
        <is>
          <t>—</t>
        </is>
      </c>
      <c r="E8" s="23" t="inlineStr">
        <is>
          <t>—</t>
        </is>
      </c>
      <c r="F8" s="25" t="inlineStr">
        <is>
          <t>Saiu da Origem</t>
        </is>
      </c>
      <c r="G8" s="24" t="inlineStr">
        <is>
          <t>Não aplicável</t>
        </is>
      </c>
      <c r="H8" s="26" t="inlineStr">
        <is>
          <t>Saiu da Origem</t>
        </is>
      </c>
    </row>
    <row r="9">
      <c r="A9" t="inlineStr">
        <is>
          <t>Jaqueta Couro</t>
        </is>
      </c>
      <c r="B9" s="21" t="n">
        <v>5375.38</v>
      </c>
      <c r="C9" s="21" t="n">
        <v>10599.37</v>
      </c>
      <c r="D9" s="21" t="n">
        <v>5223.989999999999</v>
      </c>
      <c r="E9" s="23" t="n">
        <v>0.9718364097049881</v>
      </c>
      <c r="F9" s="24" t="inlineStr">
        <is>
          <t>Presente nos dois lados</t>
        </is>
      </c>
      <c r="G9" s="24" t="inlineStr">
        <is>
          <t>Aumentou</t>
        </is>
      </c>
      <c r="H9" s="26" t="inlineStr">
        <is>
          <t>—</t>
        </is>
      </c>
    </row>
    <row r="10">
      <c r="A10" t="inlineStr">
        <is>
          <t>Meia Kit 3</t>
        </is>
      </c>
      <c r="B10" s="21" t="n">
        <v>784.78</v>
      </c>
      <c r="C10" s="21" t="inlineStr">
        <is>
          <t>—</t>
        </is>
      </c>
      <c r="D10" s="21" t="inlineStr">
        <is>
          <t>—</t>
        </is>
      </c>
      <c r="E10" s="23" t="inlineStr">
        <is>
          <t>—</t>
        </is>
      </c>
      <c r="F10" s="25" t="inlineStr">
        <is>
          <t>Saiu da Origem</t>
        </is>
      </c>
      <c r="G10" s="24" t="inlineStr">
        <is>
          <t>Não aplicável</t>
        </is>
      </c>
      <c r="H10" s="26" t="inlineStr">
        <is>
          <t>Saiu da Origem</t>
        </is>
      </c>
    </row>
    <row r="11">
      <c r="A11" t="inlineStr">
        <is>
          <t>Polo Lisa</t>
        </is>
      </c>
      <c r="B11" s="21" t="n">
        <v>2611.33</v>
      </c>
      <c r="C11" s="21" t="n">
        <v>2407.22</v>
      </c>
      <c r="D11" s="21" t="n">
        <v>-204.1099999999997</v>
      </c>
      <c r="E11" s="23" t="n">
        <v>-0.07816323482669739</v>
      </c>
      <c r="F11" s="24" t="inlineStr">
        <is>
          <t>Presente nos dois lados</t>
        </is>
      </c>
      <c r="G11" s="24" t="inlineStr">
        <is>
          <t>Reduziu</t>
        </is>
      </c>
      <c r="H11" s="26" t="inlineStr">
        <is>
          <t>—</t>
        </is>
      </c>
    </row>
    <row r="12">
      <c r="A12" t="inlineStr">
        <is>
          <t>Sandália Tiras</t>
        </is>
      </c>
      <c r="B12" s="21" t="n">
        <v>2688.26</v>
      </c>
      <c r="C12" s="21" t="n">
        <v>2070.59</v>
      </c>
      <c r="D12" s="21" t="n">
        <v>-617.6700000000001</v>
      </c>
      <c r="E12" s="23" t="n">
        <v>-0.229765722065574</v>
      </c>
      <c r="F12" s="24" t="inlineStr">
        <is>
          <t>Presente nos dois lados</t>
        </is>
      </c>
      <c r="G12" s="24" t="inlineStr">
        <is>
          <t>Reduziu</t>
        </is>
      </c>
      <c r="H12" s="26" t="inlineStr">
        <is>
          <t>—</t>
        </is>
      </c>
    </row>
    <row r="13">
      <c r="A13" t="inlineStr">
        <is>
          <t>Sapato Social</t>
        </is>
      </c>
      <c r="B13" s="21" t="n">
        <v>874.9200000000001</v>
      </c>
      <c r="C13" s="21" t="n">
        <v>1423.59</v>
      </c>
      <c r="D13" s="21" t="n">
        <v>548.6700000000001</v>
      </c>
      <c r="E13" s="23" t="n">
        <v>0.6271087642298725</v>
      </c>
      <c r="F13" s="24" t="inlineStr">
        <is>
          <t>Presente nos dois lados</t>
        </is>
      </c>
      <c r="G13" s="24" t="inlineStr">
        <is>
          <t>Aumentou</t>
        </is>
      </c>
      <c r="H13" s="26" t="inlineStr">
        <is>
          <t>—</t>
        </is>
      </c>
    </row>
    <row r="14">
      <c r="A14" t="inlineStr">
        <is>
          <t>Tênis Casual</t>
        </is>
      </c>
      <c r="B14" s="21" t="n">
        <v>4342.7</v>
      </c>
      <c r="C14" s="21" t="n">
        <v>4172.38</v>
      </c>
      <c r="D14" s="21" t="n">
        <v>-170.3199999999997</v>
      </c>
      <c r="E14" s="23" t="n">
        <v>-0.03921984019158582</v>
      </c>
      <c r="F14" s="24" t="inlineStr">
        <is>
          <t>Presente nos dois lados</t>
        </is>
      </c>
      <c r="G14" s="24" t="inlineStr">
        <is>
          <t>Reduziu</t>
        </is>
      </c>
      <c r="H14" s="26" t="inlineStr">
        <is>
          <t>—</t>
        </is>
      </c>
    </row>
    <row r="15">
      <c r="A15" t="inlineStr">
        <is>
          <t>Vestido Floral</t>
        </is>
      </c>
      <c r="B15" s="21" t="n">
        <v>235.68</v>
      </c>
      <c r="C15" s="21" t="n">
        <v>492.31</v>
      </c>
      <c r="D15" s="21" t="n">
        <v>256.63</v>
      </c>
      <c r="E15" s="23" t="n">
        <v>1.088891717583164</v>
      </c>
      <c r="F15" s="24" t="inlineStr">
        <is>
          <t>Presente nos dois lados</t>
        </is>
      </c>
      <c r="G15" s="24" t="inlineStr">
        <is>
          <t>Aumentou</t>
        </is>
      </c>
      <c r="H15" s="26" t="inlineStr">
        <is>
          <t>—</t>
        </is>
      </c>
    </row>
    <row r="16">
      <c r="B16" s="21">
        <f>SUBTOTAL(109,B4:B15)</f>
        <v/>
      </c>
      <c r="C16" s="21">
        <f>SUBTOTAL(109,C4:C15)</f>
        <v/>
      </c>
      <c r="D16" s="21">
        <f>SUBTOTAL(109,D4:D15)</f>
        <v/>
      </c>
      <c r="E16" s="23">
        <f>SUBTOTAL(101,E4:E15)</f>
        <v/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22" customWidth="1" min="3" max="3"/>
    <col width="22" customWidth="1" min="4" max="4"/>
  </cols>
  <sheetData>
    <row r="1" ht="28" customHeight="1">
      <c r="A1" s="1" t="inlineStr">
        <is>
          <t>Diagnóstico</t>
        </is>
      </c>
    </row>
    <row r="3" ht="22" customHeight="1">
      <c r="A3" s="3" t="inlineStr">
        <is>
          <t>Como a análise foi feita</t>
        </is>
      </c>
      <c r="B3" s="4" t="n"/>
      <c r="C3" s="4" t="n"/>
      <c r="D3" s="4" t="n"/>
    </row>
    <row r="4">
      <c r="A4" s="27" t="inlineStr">
        <is>
          <t>Arquivo</t>
        </is>
      </c>
      <c r="B4" s="28" t="inlineStr">
        <is>
          <t>base_v2_cliente.xlsx</t>
        </is>
      </c>
      <c r="C4" s="11" t="n"/>
      <c r="D4" s="11" t="n"/>
    </row>
    <row r="5">
      <c r="A5" s="29" t="inlineStr">
        <is>
          <t>Aba consumida</t>
        </is>
      </c>
      <c r="B5" s="22" t="inlineStr">
        <is>
          <t>vendas_padrao</t>
        </is>
      </c>
      <c r="C5" s="15" t="n"/>
      <c r="D5" s="15" t="n"/>
    </row>
    <row r="6">
      <c r="A6" s="27" t="inlineStr">
        <is>
          <t>Modo da base</t>
        </is>
      </c>
      <c r="B6" s="28" t="inlineStr">
        <is>
          <t>Dois lados empilhados em coluna identificadora</t>
        </is>
      </c>
      <c r="C6" s="11" t="n"/>
      <c r="D6" s="11" t="n"/>
    </row>
    <row r="7">
      <c r="A7" s="29" t="inlineStr">
        <is>
          <t>Agrupadores aplicados</t>
        </is>
      </c>
      <c r="B7" s="22" t="inlineStr">
        <is>
          <t>Produto</t>
        </is>
      </c>
      <c r="C7" s="15" t="n"/>
      <c r="D7" s="15" t="n"/>
    </row>
    <row r="8">
      <c r="A8" s="27" t="inlineStr">
        <is>
          <t>Campo analisado</t>
        </is>
      </c>
      <c r="B8" s="28" t="inlineStr">
        <is>
          <t>Vendas</t>
        </is>
      </c>
      <c r="C8" s="11" t="n"/>
      <c r="D8" s="11" t="n"/>
    </row>
    <row r="9">
      <c r="A9" s="29" t="inlineStr">
        <is>
          <t>Tipo de medida</t>
        </is>
      </c>
      <c r="B9" s="22" t="inlineStr">
        <is>
          <t>Valor somável</t>
        </is>
      </c>
      <c r="C9" s="15" t="n"/>
      <c r="D9" s="15" t="n"/>
    </row>
    <row r="10">
      <c r="A10" s="27" t="inlineStr">
        <is>
          <t>Coluna origem</t>
        </is>
      </c>
      <c r="B10" s="28" t="inlineStr">
        <is>
          <t>Janeiro 2025</t>
        </is>
      </c>
      <c r="C10" s="11" t="n"/>
      <c r="D10" s="11" t="n"/>
    </row>
    <row r="11">
      <c r="A11" s="29" t="inlineStr">
        <is>
          <t>Coluna comparado</t>
        </is>
      </c>
      <c r="B11" s="22" t="inlineStr">
        <is>
          <t>Fevereiro 2025</t>
        </is>
      </c>
      <c r="C11" s="15" t="n"/>
      <c r="D11" s="15" t="n"/>
    </row>
    <row r="12" ht="8" customHeight="1"/>
    <row r="13" ht="22" customHeight="1">
      <c r="A13" s="3" t="inlineStr">
        <is>
          <t>Ajustes automáticos do motor</t>
        </is>
      </c>
      <c r="B13" s="4" t="n"/>
      <c r="C13" s="4" t="n"/>
      <c r="D13" s="4" t="n"/>
    </row>
    <row r="14">
      <c r="A14" s="28" t="inlineStr">
        <is>
          <t>Nenhum ajuste estrutural foi necessário.</t>
        </is>
      </c>
      <c r="B14" s="11" t="n"/>
      <c r="C14" s="11" t="n"/>
      <c r="D14" s="11" t="n"/>
    </row>
    <row r="15" ht="8" customHeight="1"/>
    <row r="16" ht="22" customHeight="1">
      <c r="A16" s="3" t="inlineStr">
        <is>
          <t>Pontos de atenção</t>
        </is>
      </c>
      <c r="B16" s="4" t="n"/>
      <c r="C16" s="4" t="n"/>
      <c r="D16" s="4" t="n"/>
    </row>
    <row r="17">
      <c r="A17" s="27" t="inlineStr">
        <is>
          <t>Alerta estrutural</t>
        </is>
      </c>
      <c r="B17" s="28" t="inlineStr">
        <is>
          <t>3 combinação(ões) ausente(s) em um dos lados da comparação.</t>
        </is>
      </c>
      <c r="C17" s="11" t="n"/>
      <c r="D17" s="11" t="n"/>
    </row>
    <row r="18" ht="8" customHeight="1"/>
    <row r="19" ht="22" customHeight="1">
      <c r="A19" s="3" t="inlineStr">
        <is>
          <t>Decisões do usuário</t>
        </is>
      </c>
      <c r="B19" s="4" t="n"/>
      <c r="C19" s="4" t="n"/>
      <c r="D19" s="4" t="n"/>
    </row>
    <row r="20">
      <c r="A20" s="28" t="inlineStr">
        <is>
          <t>Análise executada com configurações padrão.</t>
        </is>
      </c>
      <c r="B20" s="11" t="n"/>
      <c r="C20" s="11" t="n"/>
      <c r="D20" s="11" t="n"/>
    </row>
    <row r="21" ht="8" customHeight="1"/>
    <row r="22" ht="22" customHeight="1">
      <c r="A22" s="3" t="inlineStr">
        <is>
          <t>Configurações avançadas aplicadas</t>
        </is>
      </c>
      <c r="B22" s="4" t="n"/>
      <c r="C22" s="4" t="n"/>
      <c r="D22" s="4" t="n"/>
    </row>
    <row r="23">
      <c r="A23" s="27" t="inlineStr">
        <is>
          <t>Paleta selecionada</t>
        </is>
      </c>
      <c r="B23" s="28" t="inlineStr">
        <is>
          <t>Azul executivo</t>
        </is>
      </c>
      <c r="C23" s="11" t="n"/>
      <c r="D23" s="11" t="n"/>
    </row>
    <row r="24">
      <c r="A24" s="29" t="inlineStr">
        <is>
          <t>Limite de estabilidade</t>
        </is>
      </c>
      <c r="B24" s="22" t="inlineStr">
        <is>
          <t>1,00%</t>
        </is>
      </c>
      <c r="C24" s="15" t="n"/>
      <c r="D24" s="15" t="n"/>
    </row>
    <row r="25">
      <c r="A25" s="27" t="inlineStr">
        <is>
          <t>Limite de nulos massivos</t>
        </is>
      </c>
      <c r="B25" s="28" t="inlineStr">
        <is>
          <t>20,00%</t>
        </is>
      </c>
      <c r="C25" s="11" t="n"/>
      <c r="D25" s="11" t="n"/>
    </row>
    <row r="26">
      <c r="A26" s="29" t="inlineStr">
        <is>
          <t>Limite de valores na coluna de comparação</t>
        </is>
      </c>
      <c r="B26" s="22" t="inlineStr">
        <is>
          <t>50</t>
        </is>
      </c>
      <c r="C26" s="15" t="n"/>
      <c r="D26" s="15" t="n"/>
    </row>
    <row r="27">
      <c r="A27" s="27" t="inlineStr">
        <is>
          <t>Limite de variação extrema</t>
        </is>
      </c>
      <c r="B27" s="28" t="inlineStr">
        <is>
          <t>10,00%</t>
        </is>
      </c>
      <c r="C27" s="11" t="n"/>
      <c r="D27" s="11" t="n"/>
    </row>
    <row r="28" ht="8" customHeight="1"/>
    <row r="29" ht="22" customHeight="1">
      <c r="A29" s="3" t="inlineStr">
        <is>
          <t>Qualidade estrutural da análise</t>
        </is>
      </c>
      <c r="B29" s="4" t="n"/>
      <c r="C29" s="4" t="n"/>
      <c r="D29" s="4" t="n"/>
    </row>
    <row r="30">
      <c r="A30" s="27" t="inlineStr">
        <is>
          <t>Total de avisos</t>
        </is>
      </c>
      <c r="B30" s="28" t="inlineStr">
        <is>
          <t>1</t>
        </is>
      </c>
      <c r="C30" s="11" t="n"/>
      <c r="D30" s="11" t="n"/>
    </row>
    <row r="31">
      <c r="A31" s="29" t="inlineStr">
        <is>
          <t>Avisos · Alerta estrutural</t>
        </is>
      </c>
      <c r="B31" s="22" t="inlineStr">
        <is>
          <t>1</t>
        </is>
      </c>
      <c r="C31" s="15" t="n"/>
      <c r="D31" s="15" t="n"/>
    </row>
    <row r="32">
      <c r="A32" s="27" t="inlineStr">
        <is>
          <t>Bloqueios escapados</t>
        </is>
      </c>
      <c r="B32" s="28" t="inlineStr">
        <is>
          <t>Não</t>
        </is>
      </c>
      <c r="C32" s="11" t="n"/>
      <c r="D32" s="11" t="n"/>
    </row>
    <row r="33" ht="8" customHeight="1"/>
  </sheetData>
  <mergeCells count="26">
    <mergeCell ref="B11:D11"/>
    <mergeCell ref="A22:D22"/>
    <mergeCell ref="B23:D23"/>
    <mergeCell ref="B8:D8"/>
    <mergeCell ref="A20:D20"/>
    <mergeCell ref="B17:D17"/>
    <mergeCell ref="A29:D29"/>
    <mergeCell ref="A19:D19"/>
    <mergeCell ref="A13:D13"/>
    <mergeCell ref="B10:D10"/>
    <mergeCell ref="B9:D9"/>
    <mergeCell ref="B30:D30"/>
    <mergeCell ref="B6:D6"/>
    <mergeCell ref="B24:D24"/>
    <mergeCell ref="A1:D1"/>
    <mergeCell ref="B5:D5"/>
    <mergeCell ref="B32:D32"/>
    <mergeCell ref="B4:D4"/>
    <mergeCell ref="B26:D26"/>
    <mergeCell ref="A16:D16"/>
    <mergeCell ref="B7:D7"/>
    <mergeCell ref="B25:D25"/>
    <mergeCell ref="B31:D31"/>
    <mergeCell ref="A3:D3"/>
    <mergeCell ref="B27:D27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2026-04-25T00:26:59Z</dcterms:created>
  <dcterms:modified xsi:type="dcterms:W3CDTF">2026-04-25T00:26:59Z</dcterms:modified>
</cp:coreProperties>
</file>