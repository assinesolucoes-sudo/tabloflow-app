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-"/>
    <numFmt numFmtId="165" formatCode="0.00%;[Red]-0.00%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1E6E3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D8E8F5"/>
        <bgColor rgb="00D8E8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164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164" fontId="7" fillId="4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164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8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9"/>
            <spPr>
              <a:solidFill>
                <a:srgbClr val="C06060"/>
              </a:solidFill>
              <a:ln>
                <a:prstDash val="solid"/>
              </a:ln>
            </spPr>
          </dPt>
          <cat>
            <numRef>
              <f>'Resumo Executivo'!$A$41:$A$50</f>
            </numRef>
          </cat>
          <val>
            <numRef>
              <f>'Resumo Executivo'!$B$41:$B$50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24" headerRowCount="1" totalsRowCount="1" totalsRowShown="1">
  <autoFilter ref="A3:H23"/>
  <tableColumns count="8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24" headerRowCount="1" totalsRowCount="1" totalsRowShown="1">
  <autoFilter ref="A3:I23"/>
  <tableColumns count="9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24" customWidth="1" min="4" max="4"/>
    <col width="14" customWidth="1" min="5" max="5"/>
    <col width="22" customWidth="1" min="6" max="6"/>
    <col width="12" customWidth="1" min="7" max="7"/>
    <col width="19" customWidth="1" min="8" max="8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25/04/2026 às 12:43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 2025</t>
        </is>
      </c>
      <c r="B5" s="4" t="n"/>
      <c r="C5" s="5" t="inlineStr">
        <is>
          <t>Total · Fevereiro 2025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76.884</t>
        </is>
      </c>
      <c r="B6" s="4" t="n"/>
      <c r="C6" s="6" t="inlineStr">
        <is>
          <t>76.417</t>
        </is>
      </c>
      <c r="D6" s="4" t="n"/>
      <c r="E6" s="6" t="inlineStr">
        <is>
          <t>-467</t>
        </is>
      </c>
      <c r="F6" s="4" t="n"/>
      <c r="G6" s="6" t="inlineStr">
        <is>
          <t>-0,61%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9" t="inlineStr">
        <is>
          <t>Casos</t>
        </is>
      </c>
      <c r="E9" s="8" t="inlineStr">
        <is>
          <t>Participação</t>
        </is>
      </c>
      <c r="F9" s="8" t="n"/>
      <c r="G9" s="8" t="inlineStr">
        <is>
          <t>Δ total</t>
        </is>
      </c>
      <c r="H9" s="8" t="n"/>
    </row>
    <row r="10">
      <c r="A10" s="10" t="inlineStr">
        <is>
          <t>Melhorou</t>
        </is>
      </c>
      <c r="B10" s="11" t="n"/>
      <c r="C10" s="11" t="n"/>
      <c r="D10" s="12" t="n">
        <v>8</v>
      </c>
      <c r="E10" s="13" t="n">
        <v>0.4</v>
      </c>
      <c r="F10" s="11" t="n"/>
      <c r="G10" s="14" t="n">
        <v>5685</v>
      </c>
      <c r="H10" s="11" t="n"/>
    </row>
    <row r="11">
      <c r="A11" s="15" t="inlineStr">
        <is>
          <t>Piorou</t>
        </is>
      </c>
      <c r="B11" s="16" t="n"/>
      <c r="C11" s="16" t="n"/>
      <c r="D11" s="17" t="n">
        <v>12</v>
      </c>
      <c r="E11" s="18" t="n">
        <v>0.6</v>
      </c>
      <c r="F11" s="16" t="n"/>
      <c r="G11" s="19" t="n">
        <v>-6152</v>
      </c>
      <c r="H11" s="16" t="n"/>
    </row>
    <row r="12">
      <c r="A12" s="20" t="inlineStr">
        <is>
          <t>Total comparado: 20 casos · Não comparáveis: 0 casos</t>
        </is>
      </c>
      <c r="B12" s="4" t="n"/>
      <c r="C12" s="4" t="n"/>
      <c r="D12" s="4" t="n"/>
      <c r="E12" s="4" t="n"/>
      <c r="F12" s="4" t="n"/>
      <c r="G12" s="4" t="n"/>
      <c r="H12" s="4" t="n"/>
    </row>
    <row r="13" ht="8" customHeight="1"/>
    <row r="14" ht="22" customHeight="1">
      <c r="A14" s="3" t="inlineStr">
        <is>
          <t>Concentração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21" t="inlineStr">
        <is>
          <t>As 5 maiores variações (de 20 casos) explicam 47,86% do impacto.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2" t="inlineStr">
        <is>
          <t>As 10 maiores explicam 77,73% do impacto.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1" t="inlineStr">
        <is>
          <t>→ Variação distribuída por todo o conjunto · sem outliers dominantes.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8" customHeight="1"/>
    <row r="19" ht="22" customHeight="1">
      <c r="A19" s="3" t="inlineStr">
        <is>
          <t>Onde se concentra · por Filial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Filial</t>
        </is>
      </c>
      <c r="B20" s="7" t="n"/>
      <c r="C20" s="7" t="n"/>
      <c r="D20" s="8" t="inlineStr">
        <is>
          <t>Diferença</t>
        </is>
      </c>
      <c r="E20" s="8" t="n"/>
      <c r="F20" s="8" t="inlineStr">
        <is>
          <t>Variação %</t>
        </is>
      </c>
      <c r="G20" s="8" t="n"/>
      <c r="H20" s="9" t="inlineStr">
        <is>
          <t>Direção</t>
        </is>
      </c>
    </row>
    <row r="21">
      <c r="A21" s="10" t="inlineStr">
        <is>
          <t>SP</t>
        </is>
      </c>
      <c r="B21" s="11" t="n"/>
      <c r="C21" s="11" t="n"/>
      <c r="D21" s="14" t="n">
        <v>4870</v>
      </c>
      <c r="E21" s="11" t="n"/>
      <c r="F21" s="13" t="n">
        <v>0.2792271085373545</v>
      </c>
      <c r="G21" s="11" t="n"/>
      <c r="H21" s="23" t="inlineStr">
        <is>
          <t>↑ Puxa para cima</t>
        </is>
      </c>
    </row>
    <row r="22">
      <c r="A22" s="15" t="inlineStr">
        <is>
          <t>BA</t>
        </is>
      </c>
      <c r="B22" s="16" t="n"/>
      <c r="C22" s="16" t="n"/>
      <c r="D22" s="19" t="n">
        <v>-2881</v>
      </c>
      <c r="E22" s="16" t="n"/>
      <c r="F22" s="18" t="n">
        <v>-0.2146635869160271</v>
      </c>
      <c r="G22" s="16" t="n"/>
      <c r="H22" s="24" t="inlineStr">
        <is>
          <t>↓ Puxa para baixo</t>
        </is>
      </c>
    </row>
    <row r="23">
      <c r="A23" s="10" t="inlineStr">
        <is>
          <t>MG</t>
        </is>
      </c>
      <c r="B23" s="11" t="n"/>
      <c r="C23" s="11" t="n"/>
      <c r="D23" s="14" t="n">
        <v>-2397</v>
      </c>
      <c r="E23" s="11" t="n"/>
      <c r="F23" s="13" t="n">
        <v>-0.1668522901294724</v>
      </c>
      <c r="G23" s="11" t="n"/>
      <c r="H23" s="23" t="inlineStr">
        <is>
          <t>↓ Puxa para baixo</t>
        </is>
      </c>
    </row>
    <row r="24">
      <c r="A24" s="20" t="inlineStr">
        <is>
          <t>(outras 2 categoria(s) somam Δ -59 · sem influência dominante)</t>
        </is>
      </c>
      <c r="B24" s="4" t="n"/>
      <c r="C24" s="4" t="n"/>
      <c r="D24" s="4" t="n"/>
      <c r="E24" s="4" t="n"/>
      <c r="F24" s="4" t="n"/>
      <c r="G24" s="4" t="n"/>
      <c r="H24" s="4" t="n"/>
    </row>
    <row r="25" ht="8" customHeight="1"/>
    <row r="26" ht="22" customHeight="1">
      <c r="A26" s="3" t="inlineStr">
        <is>
          <t>Variações em destaque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7" t="inlineStr">
        <is>
          <t>Filial</t>
        </is>
      </c>
      <c r="B27" s="7" t="inlineStr">
        <is>
          <t>Produto</t>
        </is>
      </c>
      <c r="C27" s="8" t="inlineStr">
        <is>
          <t>Valor · Janeiro 2025</t>
        </is>
      </c>
      <c r="D27" s="8" t="inlineStr">
        <is>
          <t>Valor · Fevereiro 2025</t>
        </is>
      </c>
      <c r="E27" s="8" t="inlineStr">
        <is>
          <t>Diferença</t>
        </is>
      </c>
      <c r="F27" s="8" t="inlineStr">
        <is>
          <t>Variação %</t>
        </is>
      </c>
    </row>
    <row r="28">
      <c r="A28" s="10" t="inlineStr">
        <is>
          <t>SP</t>
        </is>
      </c>
      <c r="B28" s="10" t="inlineStr">
        <is>
          <t>Produto D</t>
        </is>
      </c>
      <c r="C28" s="14" t="n">
        <v>5196</v>
      </c>
      <c r="D28" s="14" t="n">
        <v>6942</v>
      </c>
      <c r="E28" s="14" t="n">
        <v>1746</v>
      </c>
      <c r="F28" s="13" t="n">
        <v>0.336027713625866</v>
      </c>
    </row>
    <row r="29">
      <c r="A29" s="15" t="inlineStr">
        <is>
          <t>SP</t>
        </is>
      </c>
      <c r="B29" s="15" t="inlineStr">
        <is>
          <t>Produto C</t>
        </is>
      </c>
      <c r="C29" s="19" t="n">
        <v>4660</v>
      </c>
      <c r="D29" s="19" t="n">
        <v>5934</v>
      </c>
      <c r="E29" s="19" t="n">
        <v>1274</v>
      </c>
      <c r="F29" s="18" t="n">
        <v>0.2733905579399142</v>
      </c>
    </row>
    <row r="30">
      <c r="A30" s="10" t="inlineStr">
        <is>
          <t>SP</t>
        </is>
      </c>
      <c r="B30" s="10" t="inlineStr">
        <is>
          <t>Produto A</t>
        </is>
      </c>
      <c r="C30" s="14" t="n">
        <v>4546</v>
      </c>
      <c r="D30" s="14" t="n">
        <v>5617</v>
      </c>
      <c r="E30" s="14" t="n">
        <v>1071</v>
      </c>
      <c r="F30" s="13" t="n">
        <v>0.2355917289925209</v>
      </c>
    </row>
    <row r="31">
      <c r="A31" s="15" t="inlineStr">
        <is>
          <t>BA</t>
        </is>
      </c>
      <c r="B31" s="15" t="inlineStr">
        <is>
          <t>Produto D</t>
        </is>
      </c>
      <c r="C31" s="19" t="n">
        <v>3325</v>
      </c>
      <c r="D31" s="19" t="n">
        <v>2530</v>
      </c>
      <c r="E31" s="19" t="n">
        <v>-795</v>
      </c>
      <c r="F31" s="18" t="n">
        <v>-0.2390977443609023</v>
      </c>
    </row>
    <row r="32">
      <c r="A32" s="10" t="inlineStr">
        <is>
          <t>SP</t>
        </is>
      </c>
      <c r="B32" s="10" t="inlineStr">
        <is>
          <t>Produto B</t>
        </is>
      </c>
      <c r="C32" s="14" t="n">
        <v>3039</v>
      </c>
      <c r="D32" s="14" t="n">
        <v>3818</v>
      </c>
      <c r="E32" s="14" t="n">
        <v>779</v>
      </c>
      <c r="F32" s="13" t="n">
        <v>0.2563343205001645</v>
      </c>
    </row>
    <row r="33">
      <c r="A33" s="15" t="inlineStr">
        <is>
          <t>BA</t>
        </is>
      </c>
      <c r="B33" s="15" t="inlineStr">
        <is>
          <t>Produto B</t>
        </is>
      </c>
      <c r="C33" s="19" t="n">
        <v>3302</v>
      </c>
      <c r="D33" s="19" t="n">
        <v>2549</v>
      </c>
      <c r="E33" s="19" t="n">
        <v>-753</v>
      </c>
      <c r="F33" s="18" t="n">
        <v>-0.2280436099333737</v>
      </c>
    </row>
    <row r="34">
      <c r="A34" s="10" t="inlineStr">
        <is>
          <t>BA</t>
        </is>
      </c>
      <c r="B34" s="10" t="inlineStr">
        <is>
          <t>Produto A</t>
        </is>
      </c>
      <c r="C34" s="14" t="n">
        <v>3786</v>
      </c>
      <c r="D34" s="14" t="n">
        <v>3081</v>
      </c>
      <c r="E34" s="14" t="n">
        <v>-705</v>
      </c>
      <c r="F34" s="13" t="n">
        <v>-0.1862123613312203</v>
      </c>
    </row>
    <row r="35">
      <c r="A35" s="15" t="inlineStr">
        <is>
          <t>MG</t>
        </is>
      </c>
      <c r="B35" s="15" t="inlineStr">
        <is>
          <t>Produto D</t>
        </is>
      </c>
      <c r="C35" s="19" t="n">
        <v>4485</v>
      </c>
      <c r="D35" s="19" t="n">
        <v>3782</v>
      </c>
      <c r="E35" s="19" t="n">
        <v>-703</v>
      </c>
      <c r="F35" s="18" t="n">
        <v>-0.1567447045707915</v>
      </c>
    </row>
    <row r="36">
      <c r="A36" s="10" t="inlineStr">
        <is>
          <t>MG</t>
        </is>
      </c>
      <c r="B36" s="10" t="inlineStr">
        <is>
          <t>Produto C</t>
        </is>
      </c>
      <c r="C36" s="14" t="n">
        <v>4502</v>
      </c>
      <c r="D36" s="14" t="n">
        <v>3805</v>
      </c>
      <c r="E36" s="14" t="n">
        <v>-697</v>
      </c>
      <c r="F36" s="13" t="n">
        <v>-0.1548200799644602</v>
      </c>
    </row>
    <row r="37">
      <c r="A37" s="15" t="inlineStr">
        <is>
          <t>MG</t>
        </is>
      </c>
      <c r="B37" s="15" t="inlineStr">
        <is>
          <t>Produto A</t>
        </is>
      </c>
      <c r="C37" s="19" t="n">
        <v>2783</v>
      </c>
      <c r="D37" s="19" t="n">
        <v>2105</v>
      </c>
      <c r="E37" s="19" t="n">
        <v>-678</v>
      </c>
      <c r="F37" s="18" t="n">
        <v>-0.2436219906575638</v>
      </c>
    </row>
    <row r="38" ht="8" customHeight="1"/>
    <row r="39"/>
    <row r="40">
      <c r="A40" s="25" t="inlineStr">
        <is>
          <t>Rótulo</t>
        </is>
      </c>
      <c r="B40" s="25" t="inlineStr">
        <is>
          <t>Diferença</t>
        </is>
      </c>
    </row>
    <row r="41">
      <c r="A41" t="inlineStr">
        <is>
          <t>SP · Produto D</t>
        </is>
      </c>
      <c r="B41" s="26" t="n">
        <v>1746</v>
      </c>
    </row>
    <row r="42">
      <c r="A42" t="inlineStr">
        <is>
          <t>SP · Produto C</t>
        </is>
      </c>
      <c r="B42" s="26" t="n">
        <v>1274</v>
      </c>
    </row>
    <row r="43">
      <c r="A43" t="inlineStr">
        <is>
          <t>SP · Produto A</t>
        </is>
      </c>
      <c r="B43" s="26" t="n">
        <v>1071</v>
      </c>
    </row>
    <row r="44">
      <c r="A44" t="inlineStr">
        <is>
          <t>BA · Produto D</t>
        </is>
      </c>
      <c r="B44" s="26" t="n">
        <v>-795</v>
      </c>
    </row>
    <row r="45">
      <c r="A45" t="inlineStr">
        <is>
          <t>SP · Produto B</t>
        </is>
      </c>
      <c r="B45" s="26" t="n">
        <v>779</v>
      </c>
    </row>
    <row r="46">
      <c r="A46" t="inlineStr">
        <is>
          <t>BA · Produto B</t>
        </is>
      </c>
      <c r="B46" s="26" t="n">
        <v>-753</v>
      </c>
    </row>
    <row r="47">
      <c r="A47" t="inlineStr">
        <is>
          <t>BA · Produto A</t>
        </is>
      </c>
      <c r="B47" s="26" t="n">
        <v>-705</v>
      </c>
    </row>
    <row r="48">
      <c r="A48" t="inlineStr">
        <is>
          <t>MG · Produto D</t>
        </is>
      </c>
      <c r="B48" s="26" t="n">
        <v>-703</v>
      </c>
    </row>
    <row r="49">
      <c r="A49" t="inlineStr">
        <is>
          <t>MG · Produto C</t>
        </is>
      </c>
      <c r="B49" s="26" t="n">
        <v>-697</v>
      </c>
    </row>
    <row r="50">
      <c r="A50" t="inlineStr">
        <is>
          <t>MG · Produto A</t>
        </is>
      </c>
      <c r="B50" s="26" t="n">
        <v>-678</v>
      </c>
    </row>
    <row r="51"/>
    <row r="52"/>
    <row r="53" ht="22" customHeight="1">
      <c r="A53" s="3" t="inlineStr">
        <is>
          <t>Leitura qualitativa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22" t="inlineStr">
        <is>
          <t>O Fevereiro 2025 ficou abaixo do Janeiro 2025 em 0,61% no agregado (-467), o saldo é resultado de movimentos opostos: 8 caso(s) melhoraram (5.685) contra 12 caso(s) que pioraram (-6.152), com SP puxando para cima e BA para baixo.</t>
        </is>
      </c>
      <c r="B54" s="16" t="n"/>
      <c r="C54" s="16" t="n"/>
      <c r="D54" s="16" t="n"/>
      <c r="E54" s="16" t="n"/>
      <c r="F54" s="16" t="n"/>
      <c r="G54" s="16" t="n"/>
      <c r="H54" s="16" t="n"/>
    </row>
    <row r="55" ht="8" customHeight="1"/>
    <row r="56" ht="22" customHeight="1">
      <c r="A56" s="3" t="inlineStr">
        <is>
          <t>Qualidade estrutural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22" t="inlineStr">
        <is>
          <t>Nenhum aviso estrutural gerado · nenhum ajuste automático aplicado.</t>
        </is>
      </c>
      <c r="B57" s="16" t="n"/>
      <c r="C57" s="16" t="n"/>
      <c r="D57" s="16" t="n"/>
      <c r="E57" s="16" t="n"/>
      <c r="F57" s="16" t="n"/>
      <c r="G57" s="16" t="n"/>
      <c r="H57" s="16" t="n"/>
    </row>
    <row r="58" ht="8" customHeight="1"/>
  </sheetData>
  <mergeCells count="45">
    <mergeCell ref="D20:E20"/>
    <mergeCell ref="C6:D6"/>
    <mergeCell ref="A15:H15"/>
    <mergeCell ref="A24:H24"/>
    <mergeCell ref="G11:H11"/>
    <mergeCell ref="C5:D5"/>
    <mergeCell ref="E5:F5"/>
    <mergeCell ref="A21:C21"/>
    <mergeCell ref="D22:E22"/>
    <mergeCell ref="A1:H1"/>
    <mergeCell ref="A6:B6"/>
    <mergeCell ref="D21:E21"/>
    <mergeCell ref="F21:G21"/>
    <mergeCell ref="E10:F10"/>
    <mergeCell ref="A23:C23"/>
    <mergeCell ref="G10:H10"/>
    <mergeCell ref="A16:H16"/>
    <mergeCell ref="F20:G20"/>
    <mergeCell ref="A22:C22"/>
    <mergeCell ref="A54:H54"/>
    <mergeCell ref="G6:H6"/>
    <mergeCell ref="E9:F9"/>
    <mergeCell ref="A20:C20"/>
    <mergeCell ref="A10:C10"/>
    <mergeCell ref="A12:H12"/>
    <mergeCell ref="A56:H56"/>
    <mergeCell ref="A26:H26"/>
    <mergeCell ref="E6:F6"/>
    <mergeCell ref="A57:H57"/>
    <mergeCell ref="A2:H2"/>
    <mergeCell ref="E11:F11"/>
    <mergeCell ref="A5:B5"/>
    <mergeCell ref="G5:H5"/>
    <mergeCell ref="A9:C9"/>
    <mergeCell ref="F23:G23"/>
    <mergeCell ref="A14:H14"/>
    <mergeCell ref="F22:G22"/>
    <mergeCell ref="A8:H8"/>
    <mergeCell ref="A17:H17"/>
    <mergeCell ref="A4:H4"/>
    <mergeCell ref="A11:C11"/>
    <mergeCell ref="A53:H53"/>
    <mergeCell ref="D23:E23"/>
    <mergeCell ref="A19:H1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3786</v>
      </c>
      <c r="D4" s="26" t="n">
        <v>3081</v>
      </c>
      <c r="E4" s="26" t="n">
        <v>-705</v>
      </c>
      <c r="F4" s="27" t="n">
        <v>-0.1862123613312203</v>
      </c>
      <c r="G4" s="28" t="inlineStr">
        <is>
          <t>Presente nos dois lados</t>
        </is>
      </c>
      <c r="H4" s="29" t="inlineStr">
        <is>
          <t>Piorou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3302</v>
      </c>
      <c r="D5" s="26" t="n">
        <v>2549</v>
      </c>
      <c r="E5" s="26" t="n">
        <v>-753</v>
      </c>
      <c r="F5" s="27" t="n">
        <v>-0.2280436099333737</v>
      </c>
      <c r="G5" s="28" t="inlineStr">
        <is>
          <t>Presente nos dois lados</t>
        </is>
      </c>
      <c r="H5" s="29" t="inlineStr">
        <is>
          <t>Piorou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3008</v>
      </c>
      <c r="D6" s="26" t="n">
        <v>2380</v>
      </c>
      <c r="E6" s="26" t="n">
        <v>-628</v>
      </c>
      <c r="F6" s="27" t="n">
        <v>-0.2087765957446809</v>
      </c>
      <c r="G6" s="28" t="inlineStr">
        <is>
          <t>Presente nos dois lados</t>
        </is>
      </c>
      <c r="H6" s="29" t="inlineStr">
        <is>
          <t>Piorou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3325</v>
      </c>
      <c r="D7" s="26" t="n">
        <v>2530</v>
      </c>
      <c r="E7" s="26" t="n">
        <v>-795</v>
      </c>
      <c r="F7" s="27" t="n">
        <v>-0.2390977443609023</v>
      </c>
      <c r="G7" s="28" t="inlineStr">
        <is>
          <t>Presente nos dois lados</t>
        </is>
      </c>
      <c r="H7" s="29" t="inlineStr">
        <is>
          <t>Piorou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2783</v>
      </c>
      <c r="D8" s="26" t="n">
        <v>2105</v>
      </c>
      <c r="E8" s="26" t="n">
        <v>-678</v>
      </c>
      <c r="F8" s="27" t="n">
        <v>-0.2436219906575638</v>
      </c>
      <c r="G8" s="28" t="inlineStr">
        <is>
          <t>Presente nos dois lados</t>
        </is>
      </c>
      <c r="H8" s="29" t="inlineStr">
        <is>
          <t>Piorou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2596</v>
      </c>
      <c r="D9" s="26" t="n">
        <v>2277</v>
      </c>
      <c r="E9" s="26" t="n">
        <v>-319</v>
      </c>
      <c r="F9" s="27" t="n">
        <v>-0.1228813559322034</v>
      </c>
      <c r="G9" s="28" t="inlineStr">
        <is>
          <t>Presente nos dois lados</t>
        </is>
      </c>
      <c r="H9" s="29" t="inlineStr">
        <is>
          <t>Piorou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4502</v>
      </c>
      <c r="D10" s="26" t="n">
        <v>3805</v>
      </c>
      <c r="E10" s="26" t="n">
        <v>-697</v>
      </c>
      <c r="F10" s="27" t="n">
        <v>-0.1548200799644602</v>
      </c>
      <c r="G10" s="28" t="inlineStr">
        <is>
          <t>Presente nos dois lados</t>
        </is>
      </c>
      <c r="H10" s="29" t="inlineStr">
        <is>
          <t>Piorou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4485</v>
      </c>
      <c r="D11" s="26" t="n">
        <v>3782</v>
      </c>
      <c r="E11" s="26" t="n">
        <v>-703</v>
      </c>
      <c r="F11" s="27" t="n">
        <v>-0.1567447045707915</v>
      </c>
      <c r="G11" s="28" t="inlineStr">
        <is>
          <t>Presente nos dois lados</t>
        </is>
      </c>
      <c r="H11" s="29" t="inlineStr">
        <is>
          <t>Piorou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2584</v>
      </c>
      <c r="D12" s="26" t="n">
        <v>2435</v>
      </c>
      <c r="E12" s="26" t="n">
        <v>-149</v>
      </c>
      <c r="F12" s="27" t="n">
        <v>-0.0576625386996904</v>
      </c>
      <c r="G12" s="28" t="inlineStr">
        <is>
          <t>Presente nos dois lados</t>
        </is>
      </c>
      <c r="H12" s="29" t="inlineStr">
        <is>
          <t>Piorou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4215</v>
      </c>
      <c r="D13" s="26" t="n">
        <v>3991</v>
      </c>
      <c r="E13" s="26" t="n">
        <v>-224</v>
      </c>
      <c r="F13" s="27" t="n">
        <v>-0.0531435349940688</v>
      </c>
      <c r="G13" s="28" t="inlineStr">
        <is>
          <t>Presente nos dois lados</t>
        </is>
      </c>
      <c r="H13" s="29" t="inlineStr">
        <is>
          <t>Piorou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4841</v>
      </c>
      <c r="D14" s="26" t="n">
        <v>4458</v>
      </c>
      <c r="E14" s="26" t="n">
        <v>-383</v>
      </c>
      <c r="F14" s="27" t="n">
        <v>-0.07911588514769675</v>
      </c>
      <c r="G14" s="28" t="inlineStr">
        <is>
          <t>Presente nos dois lados</t>
        </is>
      </c>
      <c r="H14" s="29" t="inlineStr">
        <is>
          <t>Piorou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4110</v>
      </c>
      <c r="D15" s="26" t="n">
        <v>3992</v>
      </c>
      <c r="E15" s="26" t="n">
        <v>-118</v>
      </c>
      <c r="F15" s="27" t="n">
        <v>-0.02871046228710462</v>
      </c>
      <c r="G15" s="28" t="inlineStr">
        <is>
          <t>Presente nos dois lados</t>
        </is>
      </c>
      <c r="H15" s="29" t="inlineStr">
        <is>
          <t>Piorou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4066</v>
      </c>
      <c r="D16" s="26" t="n">
        <v>4154</v>
      </c>
      <c r="E16" s="26" t="n">
        <v>88</v>
      </c>
      <c r="F16" s="27" t="n">
        <v>0.02164289227742253</v>
      </c>
      <c r="G16" s="28" t="inlineStr">
        <is>
          <t>Presente nos dois lados</t>
        </is>
      </c>
      <c r="H16" s="30" t="inlineStr">
        <is>
          <t>Melhorou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4500</v>
      </c>
      <c r="D17" s="26" t="n">
        <v>4787</v>
      </c>
      <c r="E17" s="26" t="n">
        <v>287</v>
      </c>
      <c r="F17" s="27" t="n">
        <v>0.06377777777777778</v>
      </c>
      <c r="G17" s="28" t="inlineStr">
        <is>
          <t>Presente nos dois lados</t>
        </is>
      </c>
      <c r="H17" s="30" t="inlineStr">
        <is>
          <t>Melhorou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2458</v>
      </c>
      <c r="D18" s="26" t="n">
        <v>2736</v>
      </c>
      <c r="E18" s="26" t="n">
        <v>278</v>
      </c>
      <c r="F18" s="27" t="n">
        <v>0.113100081366965</v>
      </c>
      <c r="G18" s="28" t="inlineStr">
        <is>
          <t>Presente nos dois lados</t>
        </is>
      </c>
      <c r="H18" s="30" t="inlineStr">
        <is>
          <t>Melhorou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4882</v>
      </c>
      <c r="D19" s="26" t="n">
        <v>5044</v>
      </c>
      <c r="E19" s="26" t="n">
        <v>162</v>
      </c>
      <c r="F19" s="27" t="n">
        <v>0.03318312167144613</v>
      </c>
      <c r="G19" s="28" t="inlineStr">
        <is>
          <t>Presente nos dois lados</t>
        </is>
      </c>
      <c r="H19" s="30" t="inlineStr">
        <is>
          <t>Melhorou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4546</v>
      </c>
      <c r="D20" s="26" t="n">
        <v>5617</v>
      </c>
      <c r="E20" s="26" t="n">
        <v>1071</v>
      </c>
      <c r="F20" s="27" t="n">
        <v>0.2355917289925209</v>
      </c>
      <c r="G20" s="28" t="inlineStr">
        <is>
          <t>Presente nos dois lados</t>
        </is>
      </c>
      <c r="H20" s="30" t="inlineStr">
        <is>
          <t>Melhorou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3039</v>
      </c>
      <c r="D21" s="26" t="n">
        <v>3818</v>
      </c>
      <c r="E21" s="26" t="n">
        <v>779</v>
      </c>
      <c r="F21" s="27" t="n">
        <v>0.2563343205001645</v>
      </c>
      <c r="G21" s="28" t="inlineStr">
        <is>
          <t>Presente nos dois lados</t>
        </is>
      </c>
      <c r="H21" s="30" t="inlineStr">
        <is>
          <t>Melhorou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4660</v>
      </c>
      <c r="D22" s="26" t="n">
        <v>5934</v>
      </c>
      <c r="E22" s="26" t="n">
        <v>1274</v>
      </c>
      <c r="F22" s="27" t="n">
        <v>0.2733905579399142</v>
      </c>
      <c r="G22" s="28" t="inlineStr">
        <is>
          <t>Presente nos dois lados</t>
        </is>
      </c>
      <c r="H22" s="30" t="inlineStr">
        <is>
          <t>Melhorou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5196</v>
      </c>
      <c r="D23" s="26" t="n">
        <v>6942</v>
      </c>
      <c r="E23" s="26" t="n">
        <v>1746</v>
      </c>
      <c r="F23" s="27" t="n">
        <v>0.336027713625866</v>
      </c>
      <c r="G23" s="28" t="inlineStr">
        <is>
          <t>Presente nos dois lados</t>
        </is>
      </c>
      <c r="H23" s="30" t="inlineStr">
        <is>
          <t>Melhorou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H1"/>
  </mergeCells>
  <conditionalFormatting sqref="E4:E2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  <col width="13" customWidth="1" min="9" max="9"/>
  </cols>
  <sheetData>
    <row r="1" ht="28" customHeight="1">
      <c r="A1" s="1" t="inlineStr">
        <is>
          <t>Base Analítica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  <c r="I3" s="25" t="inlineStr">
        <is>
          <t>Observações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3786</v>
      </c>
      <c r="D4" s="26" t="n">
        <v>3081</v>
      </c>
      <c r="E4" s="26" t="n">
        <v>-705</v>
      </c>
      <c r="F4" s="27" t="n">
        <v>-0.1862123613312203</v>
      </c>
      <c r="G4" s="28" t="inlineStr">
        <is>
          <t>Presente nos dois lados</t>
        </is>
      </c>
      <c r="H4" s="29" t="inlineStr">
        <is>
          <t>Piorou</t>
        </is>
      </c>
      <c r="I4" s="31" t="inlineStr">
        <is>
          <t>—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3302</v>
      </c>
      <c r="D5" s="26" t="n">
        <v>2549</v>
      </c>
      <c r="E5" s="26" t="n">
        <v>-753</v>
      </c>
      <c r="F5" s="27" t="n">
        <v>-0.2280436099333737</v>
      </c>
      <c r="G5" s="28" t="inlineStr">
        <is>
          <t>Presente nos dois lados</t>
        </is>
      </c>
      <c r="H5" s="29" t="inlineStr">
        <is>
          <t>Piorou</t>
        </is>
      </c>
      <c r="I5" s="31" t="inlineStr">
        <is>
          <t>—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3008</v>
      </c>
      <c r="D6" s="26" t="n">
        <v>2380</v>
      </c>
      <c r="E6" s="26" t="n">
        <v>-628</v>
      </c>
      <c r="F6" s="27" t="n">
        <v>-0.2087765957446809</v>
      </c>
      <c r="G6" s="28" t="inlineStr">
        <is>
          <t>Presente nos dois lados</t>
        </is>
      </c>
      <c r="H6" s="29" t="inlineStr">
        <is>
          <t>Piorou</t>
        </is>
      </c>
      <c r="I6" s="31" t="inlineStr">
        <is>
          <t>—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3325</v>
      </c>
      <c r="D7" s="26" t="n">
        <v>2530</v>
      </c>
      <c r="E7" s="26" t="n">
        <v>-795</v>
      </c>
      <c r="F7" s="27" t="n">
        <v>-0.2390977443609023</v>
      </c>
      <c r="G7" s="28" t="inlineStr">
        <is>
          <t>Presente nos dois lados</t>
        </is>
      </c>
      <c r="H7" s="29" t="inlineStr">
        <is>
          <t>Piorou</t>
        </is>
      </c>
      <c r="I7" s="31" t="inlineStr">
        <is>
          <t>—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2783</v>
      </c>
      <c r="D8" s="26" t="n">
        <v>2105</v>
      </c>
      <c r="E8" s="26" t="n">
        <v>-678</v>
      </c>
      <c r="F8" s="27" t="n">
        <v>-0.2436219906575638</v>
      </c>
      <c r="G8" s="28" t="inlineStr">
        <is>
          <t>Presente nos dois lados</t>
        </is>
      </c>
      <c r="H8" s="29" t="inlineStr">
        <is>
          <t>Piorou</t>
        </is>
      </c>
      <c r="I8" s="31" t="inlineStr">
        <is>
          <t>—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2596</v>
      </c>
      <c r="D9" s="26" t="n">
        <v>2277</v>
      </c>
      <c r="E9" s="26" t="n">
        <v>-319</v>
      </c>
      <c r="F9" s="27" t="n">
        <v>-0.1228813559322034</v>
      </c>
      <c r="G9" s="28" t="inlineStr">
        <is>
          <t>Presente nos dois lados</t>
        </is>
      </c>
      <c r="H9" s="29" t="inlineStr">
        <is>
          <t>Piorou</t>
        </is>
      </c>
      <c r="I9" s="31" t="inlineStr">
        <is>
          <t>—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4502</v>
      </c>
      <c r="D10" s="26" t="n">
        <v>3805</v>
      </c>
      <c r="E10" s="26" t="n">
        <v>-697</v>
      </c>
      <c r="F10" s="27" t="n">
        <v>-0.1548200799644602</v>
      </c>
      <c r="G10" s="28" t="inlineStr">
        <is>
          <t>Presente nos dois lados</t>
        </is>
      </c>
      <c r="H10" s="29" t="inlineStr">
        <is>
          <t>Piorou</t>
        </is>
      </c>
      <c r="I10" s="31" t="inlineStr">
        <is>
          <t>—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4485</v>
      </c>
      <c r="D11" s="26" t="n">
        <v>3782</v>
      </c>
      <c r="E11" s="26" t="n">
        <v>-703</v>
      </c>
      <c r="F11" s="27" t="n">
        <v>-0.1567447045707915</v>
      </c>
      <c r="G11" s="28" t="inlineStr">
        <is>
          <t>Presente nos dois lados</t>
        </is>
      </c>
      <c r="H11" s="29" t="inlineStr">
        <is>
          <t>Piorou</t>
        </is>
      </c>
      <c r="I11" s="31" t="inlineStr">
        <is>
          <t>—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2584</v>
      </c>
      <c r="D12" s="26" t="n">
        <v>2435</v>
      </c>
      <c r="E12" s="26" t="n">
        <v>-149</v>
      </c>
      <c r="F12" s="27" t="n">
        <v>-0.0576625386996904</v>
      </c>
      <c r="G12" s="28" t="inlineStr">
        <is>
          <t>Presente nos dois lados</t>
        </is>
      </c>
      <c r="H12" s="29" t="inlineStr">
        <is>
          <t>Piorou</t>
        </is>
      </c>
      <c r="I12" s="31" t="inlineStr">
        <is>
          <t>—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4215</v>
      </c>
      <c r="D13" s="26" t="n">
        <v>3991</v>
      </c>
      <c r="E13" s="26" t="n">
        <v>-224</v>
      </c>
      <c r="F13" s="27" t="n">
        <v>-0.0531435349940688</v>
      </c>
      <c r="G13" s="28" t="inlineStr">
        <is>
          <t>Presente nos dois lados</t>
        </is>
      </c>
      <c r="H13" s="29" t="inlineStr">
        <is>
          <t>Piorou</t>
        </is>
      </c>
      <c r="I13" s="31" t="inlineStr">
        <is>
          <t>—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4841</v>
      </c>
      <c r="D14" s="26" t="n">
        <v>4458</v>
      </c>
      <c r="E14" s="26" t="n">
        <v>-383</v>
      </c>
      <c r="F14" s="27" t="n">
        <v>-0.07911588514769675</v>
      </c>
      <c r="G14" s="28" t="inlineStr">
        <is>
          <t>Presente nos dois lados</t>
        </is>
      </c>
      <c r="H14" s="29" t="inlineStr">
        <is>
          <t>Piorou</t>
        </is>
      </c>
      <c r="I14" s="31" t="inlineStr">
        <is>
          <t>—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4110</v>
      </c>
      <c r="D15" s="26" t="n">
        <v>3992</v>
      </c>
      <c r="E15" s="26" t="n">
        <v>-118</v>
      </c>
      <c r="F15" s="27" t="n">
        <v>-0.02871046228710462</v>
      </c>
      <c r="G15" s="28" t="inlineStr">
        <is>
          <t>Presente nos dois lados</t>
        </is>
      </c>
      <c r="H15" s="29" t="inlineStr">
        <is>
          <t>Piorou</t>
        </is>
      </c>
      <c r="I15" s="31" t="inlineStr">
        <is>
          <t>—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4066</v>
      </c>
      <c r="D16" s="26" t="n">
        <v>4154</v>
      </c>
      <c r="E16" s="26" t="n">
        <v>88</v>
      </c>
      <c r="F16" s="27" t="n">
        <v>0.02164289227742253</v>
      </c>
      <c r="G16" s="28" t="inlineStr">
        <is>
          <t>Presente nos dois lados</t>
        </is>
      </c>
      <c r="H16" s="30" t="inlineStr">
        <is>
          <t>Melhorou</t>
        </is>
      </c>
      <c r="I16" s="31" t="inlineStr">
        <is>
          <t>—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4500</v>
      </c>
      <c r="D17" s="26" t="n">
        <v>4787</v>
      </c>
      <c r="E17" s="26" t="n">
        <v>287</v>
      </c>
      <c r="F17" s="27" t="n">
        <v>0.06377777777777778</v>
      </c>
      <c r="G17" s="28" t="inlineStr">
        <is>
          <t>Presente nos dois lados</t>
        </is>
      </c>
      <c r="H17" s="30" t="inlineStr">
        <is>
          <t>Melhorou</t>
        </is>
      </c>
      <c r="I17" s="31" t="inlineStr">
        <is>
          <t>—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2458</v>
      </c>
      <c r="D18" s="26" t="n">
        <v>2736</v>
      </c>
      <c r="E18" s="26" t="n">
        <v>278</v>
      </c>
      <c r="F18" s="27" t="n">
        <v>0.113100081366965</v>
      </c>
      <c r="G18" s="28" t="inlineStr">
        <is>
          <t>Presente nos dois lados</t>
        </is>
      </c>
      <c r="H18" s="30" t="inlineStr">
        <is>
          <t>Melhorou</t>
        </is>
      </c>
      <c r="I18" s="31" t="inlineStr">
        <is>
          <t>—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4882</v>
      </c>
      <c r="D19" s="26" t="n">
        <v>5044</v>
      </c>
      <c r="E19" s="26" t="n">
        <v>162</v>
      </c>
      <c r="F19" s="27" t="n">
        <v>0.03318312167144613</v>
      </c>
      <c r="G19" s="28" t="inlineStr">
        <is>
          <t>Presente nos dois lados</t>
        </is>
      </c>
      <c r="H19" s="30" t="inlineStr">
        <is>
          <t>Melhorou</t>
        </is>
      </c>
      <c r="I19" s="31" t="inlineStr">
        <is>
          <t>—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4546</v>
      </c>
      <c r="D20" s="26" t="n">
        <v>5617</v>
      </c>
      <c r="E20" s="26" t="n">
        <v>1071</v>
      </c>
      <c r="F20" s="27" t="n">
        <v>0.2355917289925209</v>
      </c>
      <c r="G20" s="28" t="inlineStr">
        <is>
          <t>Presente nos dois lados</t>
        </is>
      </c>
      <c r="H20" s="30" t="inlineStr">
        <is>
          <t>Melhorou</t>
        </is>
      </c>
      <c r="I20" s="31" t="inlineStr">
        <is>
          <t>—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3039</v>
      </c>
      <c r="D21" s="26" t="n">
        <v>3818</v>
      </c>
      <c r="E21" s="26" t="n">
        <v>779</v>
      </c>
      <c r="F21" s="27" t="n">
        <v>0.2563343205001645</v>
      </c>
      <c r="G21" s="28" t="inlineStr">
        <is>
          <t>Presente nos dois lados</t>
        </is>
      </c>
      <c r="H21" s="30" t="inlineStr">
        <is>
          <t>Melhorou</t>
        </is>
      </c>
      <c r="I21" s="31" t="inlineStr">
        <is>
          <t>—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4660</v>
      </c>
      <c r="D22" s="26" t="n">
        <v>5934</v>
      </c>
      <c r="E22" s="26" t="n">
        <v>1274</v>
      </c>
      <c r="F22" s="27" t="n">
        <v>0.2733905579399142</v>
      </c>
      <c r="G22" s="28" t="inlineStr">
        <is>
          <t>Presente nos dois lados</t>
        </is>
      </c>
      <c r="H22" s="30" t="inlineStr">
        <is>
          <t>Melhorou</t>
        </is>
      </c>
      <c r="I22" s="31" t="inlineStr">
        <is>
          <t>—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5196</v>
      </c>
      <c r="D23" s="26" t="n">
        <v>6942</v>
      </c>
      <c r="E23" s="26" t="n">
        <v>1746</v>
      </c>
      <c r="F23" s="27" t="n">
        <v>0.336027713625866</v>
      </c>
      <c r="G23" s="28" t="inlineStr">
        <is>
          <t>Presente nos dois lados</t>
        </is>
      </c>
      <c r="H23" s="30" t="inlineStr">
        <is>
          <t>Melhorou</t>
        </is>
      </c>
      <c r="I23" s="31" t="inlineStr">
        <is>
          <t>—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2" t="inlineStr">
        <is>
          <t>Arquivo</t>
        </is>
      </c>
      <c r="B4" s="21" t="inlineStr">
        <is>
          <t>—</t>
        </is>
      </c>
      <c r="C4" s="11" t="n"/>
      <c r="D4" s="11" t="n"/>
    </row>
    <row r="5">
      <c r="A5" s="33" t="inlineStr">
        <is>
          <t>Aba consumida</t>
        </is>
      </c>
      <c r="B5" s="22" t="inlineStr">
        <is>
          <t>—</t>
        </is>
      </c>
      <c r="C5" s="16" t="n"/>
      <c r="D5" s="16" t="n"/>
    </row>
    <row r="6">
      <c r="A6" s="32" t="inlineStr">
        <is>
          <t>Modo da base</t>
        </is>
      </c>
      <c r="B6" s="21" t="inlineStr">
        <is>
          <t>Dois lados em colunas distintas</t>
        </is>
      </c>
      <c r="C6" s="11" t="n"/>
      <c r="D6" s="11" t="n"/>
    </row>
    <row r="7">
      <c r="A7" s="33" t="inlineStr">
        <is>
          <t>Agrupadores aplicados</t>
        </is>
      </c>
      <c r="B7" s="22" t="inlineStr">
        <is>
          <t>Filial · Produto</t>
        </is>
      </c>
      <c r="C7" s="16" t="n"/>
      <c r="D7" s="16" t="n"/>
    </row>
    <row r="8">
      <c r="A8" s="32" t="inlineStr">
        <is>
          <t>Campo analisado</t>
        </is>
      </c>
      <c r="B8" s="21" t="inlineStr">
        <is>
          <t>Campo · QUANTIDADE</t>
        </is>
      </c>
      <c r="C8" s="11" t="n"/>
      <c r="D8" s="11" t="n"/>
    </row>
    <row r="9">
      <c r="A9" s="33" t="inlineStr">
        <is>
          <t>Tipo de medida</t>
        </is>
      </c>
      <c r="B9" s="22" t="inlineStr">
        <is>
          <t>Valor somável</t>
        </is>
      </c>
      <c r="C9" s="16" t="n"/>
      <c r="D9" s="16" t="n"/>
    </row>
    <row r="10">
      <c r="A10" s="32" t="inlineStr">
        <is>
          <t>Coluna origem</t>
        </is>
      </c>
      <c r="B10" s="21" t="inlineStr">
        <is>
          <t>Janeiro 2025</t>
        </is>
      </c>
      <c r="C10" s="11" t="n"/>
      <c r="D10" s="11" t="n"/>
    </row>
    <row r="11">
      <c r="A11" s="33" t="inlineStr">
        <is>
          <t>Coluna comparado</t>
        </is>
      </c>
      <c r="B11" s="22" t="inlineStr">
        <is>
          <t>Fevereiro 2025</t>
        </is>
      </c>
      <c r="C11" s="16" t="n"/>
      <c r="D11" s="16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2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2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2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2" t="inlineStr">
        <is>
          <t>Paleta selecionada</t>
        </is>
      </c>
      <c r="B23" s="21" t="inlineStr">
        <is>
          <t>Azul executivo</t>
        </is>
      </c>
      <c r="C23" s="11" t="n"/>
      <c r="D23" s="11" t="n"/>
    </row>
    <row r="24">
      <c r="A24" s="33" t="inlineStr">
        <is>
          <t>Limite de estabilidade</t>
        </is>
      </c>
      <c r="B24" s="22" t="inlineStr">
        <is>
          <t>1,00%</t>
        </is>
      </c>
      <c r="C24" s="16" t="n"/>
      <c r="D24" s="16" t="n"/>
    </row>
    <row r="25">
      <c r="A25" s="32" t="inlineStr">
        <is>
          <t>Limite de nulos massivos</t>
        </is>
      </c>
      <c r="B25" s="21" t="inlineStr">
        <is>
          <t>20,00%</t>
        </is>
      </c>
      <c r="C25" s="11" t="n"/>
      <c r="D25" s="11" t="n"/>
    </row>
    <row r="26">
      <c r="A26" s="33" t="inlineStr">
        <is>
          <t>Limite de valores na coluna de comparação</t>
        </is>
      </c>
      <c r="B26" s="22" t="inlineStr">
        <is>
          <t>50</t>
        </is>
      </c>
      <c r="C26" s="16" t="n"/>
      <c r="D26" s="16" t="n"/>
    </row>
    <row r="27">
      <c r="A27" s="32" t="inlineStr">
        <is>
          <t>Limite de variação extrema</t>
        </is>
      </c>
      <c r="B27" s="2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2" t="inlineStr">
        <is>
          <t>Total de avisos</t>
        </is>
      </c>
      <c r="B30" s="21" t="inlineStr">
        <is>
          <t>0</t>
        </is>
      </c>
      <c r="C30" s="11" t="n"/>
      <c r="D30" s="11" t="n"/>
    </row>
    <row r="31">
      <c r="A31" s="33" t="inlineStr">
        <is>
          <t>Bloqueios escapados</t>
        </is>
      </c>
      <c r="B31" s="22" t="inlineStr">
        <is>
          <t>Não</t>
        </is>
      </c>
      <c r="C31" s="16" t="n"/>
      <c r="D31" s="16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2026-04-25T15:43:58Z</dcterms:created>
  <dcterms:modified xsi:type="dcterms:W3CDTF">2026-04-25T15:43:58Z</dcterms:modified>
</cp:coreProperties>
</file>