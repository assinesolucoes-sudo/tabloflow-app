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R$ #,##0.00;[Red](R$ #,##0.00);-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0B2D4C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2F2F2F"/>
      <sz val="11"/>
    </font>
    <font>
      <name val="Calibri"/>
      <color rgb="002F2F2F"/>
      <sz val="11"/>
    </font>
    <font>
      <name val="Calibri"/>
      <b val="1"/>
      <color rgb="001E6E3B"/>
      <sz val="11"/>
    </font>
    <font>
      <name val="Calibri"/>
      <b val="1"/>
      <color rgb="007A5A00"/>
      <sz val="11"/>
    </font>
    <font>
      <name val="Calibri"/>
      <b val="1"/>
      <color rgb="009B1E14"/>
      <sz val="11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D8E8F5"/>
        <bgColor rgb="00D8E8F5"/>
      </patternFill>
    </fill>
    <fill>
      <patternFill patternType="solid">
        <fgColor rgb="00FFF4D1"/>
        <bgColor rgb="00FFF4D1"/>
      </patternFill>
    </fill>
    <fill>
      <patternFill patternType="solid">
        <fgColor rgb="00F4E3E1"/>
        <bgColor rgb="00F4E3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165" fontId="0" fillId="0" borderId="0" pivotButton="0" quotePrefix="0" xfId="0"/>
    <xf numFmtId="0" fontId="6" fillId="4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Como os casos se distribuem</a:t>
            </a:r>
          </a:p>
        </rich>
      </tx>
    </title>
    <plotArea>
      <pieChart>
        <varyColors val="1"/>
        <ser>
          <idx val="0"/>
          <order val="0"/>
          <tx>
            <strRef>
              <f>'Resumo Executivo'!B11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F81BD"/>
              </a:solidFill>
              <a:ln>
                <a:prstDash val="solid"/>
              </a:ln>
            </spPr>
          </dPt>
          <dPt>
            <idx val="1"/>
            <spPr>
              <a:solidFill>
                <a:srgbClr val="1F4E79"/>
              </a:solidFill>
              <a:ln>
                <a:prstDash val="solid"/>
              </a:ln>
            </spPr>
          </dPt>
          <dPt>
            <idx val="2"/>
            <spPr>
              <a:solidFill>
                <a:srgbClr val="1F4E79"/>
              </a:solidFill>
              <a:ln>
                <a:prstDash val="solid"/>
              </a:ln>
            </spPr>
          </dPt>
          <dPt>
            <idx val="3"/>
            <spPr>
              <a:solidFill>
                <a:srgbClr val="D9823B"/>
              </a:solidFill>
              <a:ln>
                <a:prstDash val="solid"/>
              </a:ln>
            </spPr>
          </dPt>
          <dPt>
            <idx val="4"/>
            <spPr>
              <a:solidFill>
                <a:srgbClr val="D9823B"/>
              </a:solidFill>
              <a:ln>
                <a:prstDash val="solid"/>
              </a:ln>
            </spPr>
          </dPt>
          <dPt>
            <idx val="5"/>
            <spPr>
              <a:solidFill>
                <a:srgbClr val="B0B0B0"/>
              </a:solidFill>
              <a:ln>
                <a:prstDash val="solid"/>
              </a:ln>
            </spPr>
          </dPt>
          <cat>
            <numRef>
              <f>'Resumo Executivo'!$A$12:$A$17</f>
            </numRef>
          </cat>
          <val>
            <numRef>
              <f>'Resumo Executivo'!$B$12:$B$17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4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5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8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9"/>
            <spPr>
              <a:solidFill>
                <a:srgbClr val="5B9E5B"/>
              </a:solidFill>
              <a:ln>
                <a:prstDash val="solid"/>
              </a:ln>
            </spPr>
          </dPt>
          <cat>
            <numRef>
              <f>'Resumo Executivo'!$A$35:$A$44</f>
            </numRef>
          </cat>
          <val>
            <numRef>
              <f>'Resumo Executivo'!$B$35:$B$44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H64" headerRowCount="1" totalsRowCount="1" totalsRowShown="1">
  <autoFilter ref="A3:H63"/>
  <tableColumns count="8">
    <tableColumn id="1" name="Loja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I64" headerRowCount="1" totalsRowCount="1" totalsRowShown="1">
  <autoFilter ref="A3:I63"/>
  <tableColumns count="9">
    <tableColumn id="1" name="Loja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  <tableColumn id="9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4" customWidth="1" min="3" max="3"/>
    <col width="24" customWidth="1" min="4" max="4"/>
    <col width="21" customWidth="1" min="5" max="5"/>
    <col width="22" customWidth="1" min="6" max="6"/>
    <col width="12" customWidth="1" min="7" max="7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24/04/2026 às 16:30</t>
        </is>
      </c>
    </row>
    <row r="3"/>
    <row r="4">
      <c r="A4" s="3" t="inlineStr">
        <is>
          <t>Números principais</t>
        </is>
      </c>
    </row>
    <row r="5"/>
    <row r="6" ht="22" customHeight="1">
      <c r="A6" s="4" t="inlineStr">
        <is>
          <t>Total · Janeiro 2025</t>
        </is>
      </c>
      <c r="C6" s="4" t="inlineStr">
        <is>
          <t>Total · Fevereiro 2025</t>
        </is>
      </c>
      <c r="E6" s="4" t="inlineStr">
        <is>
          <t>Diferença</t>
        </is>
      </c>
      <c r="G6" s="4" t="inlineStr">
        <is>
          <t>Variação %</t>
        </is>
      </c>
    </row>
    <row r="7" ht="32" customHeight="1">
      <c r="A7" s="5" t="inlineStr">
        <is>
          <t>R$ 31.686,44</t>
        </is>
      </c>
      <c r="C7" s="5" t="inlineStr">
        <is>
          <t>R$ 24.598,63</t>
        </is>
      </c>
      <c r="E7" s="5" t="inlineStr">
        <is>
          <t>(R$ 7.087,81)</t>
        </is>
      </c>
      <c r="G7" s="5" t="inlineStr">
        <is>
          <t>-22,37%</t>
        </is>
      </c>
    </row>
    <row r="8"/>
    <row r="9">
      <c r="A9" s="3" t="inlineStr">
        <is>
          <t>Como os casos se distribuem</t>
        </is>
      </c>
    </row>
    <row r="10"/>
    <row r="11">
      <c r="A11" s="6" t="inlineStr">
        <is>
          <t>Categoria</t>
        </is>
      </c>
      <c r="B11" s="6" t="inlineStr">
        <is>
          <t>Casos</t>
        </is>
      </c>
      <c r="C11" s="6" t="inlineStr">
        <is>
          <t>Participação</t>
        </is>
      </c>
    </row>
    <row r="12">
      <c r="A12" s="7" t="inlineStr">
        <is>
          <t>Presente nos dois lados</t>
        </is>
      </c>
      <c r="B12" s="8" t="n">
        <v>41</v>
      </c>
      <c r="C12" s="9" t="n">
        <v>0.6833333333333333</v>
      </c>
    </row>
    <row r="13">
      <c r="A13" s="7" t="inlineStr">
        <is>
          <t>Apareceu no Comparado</t>
        </is>
      </c>
      <c r="B13" s="8" t="n">
        <v>0</v>
      </c>
      <c r="C13" s="9" t="n">
        <v>0</v>
      </c>
    </row>
    <row r="14">
      <c r="A14" s="7" t="inlineStr">
        <is>
          <t>Saiu da Origem</t>
        </is>
      </c>
      <c r="B14" s="8" t="n">
        <v>15</v>
      </c>
      <c r="C14" s="9" t="n">
        <v>0.25</v>
      </c>
    </row>
    <row r="15">
      <c r="A15" s="7" t="inlineStr">
        <is>
          <t>Sem valor na Origem</t>
        </is>
      </c>
      <c r="B15" s="8" t="n">
        <v>3</v>
      </c>
      <c r="C15" s="9" t="n">
        <v>0.05</v>
      </c>
    </row>
    <row r="16">
      <c r="A16" s="7" t="inlineStr">
        <is>
          <t>Sem valor no Comparado</t>
        </is>
      </c>
      <c r="B16" s="8" t="n">
        <v>1</v>
      </c>
      <c r="C16" s="9" t="n">
        <v>0.01666666666666667</v>
      </c>
    </row>
    <row r="17">
      <c r="A17" s="7" t="inlineStr">
        <is>
          <t>Sem valor nos dois lados</t>
        </is>
      </c>
      <c r="B17" s="8" t="n">
        <v>0</v>
      </c>
      <c r="C17" s="9" t="n">
        <v>0</v>
      </c>
    </row>
    <row r="18"/>
    <row r="19"/>
    <row r="20">
      <c r="A20" s="3" t="inlineStr">
        <is>
          <t>Variações em destaque</t>
        </is>
      </c>
    </row>
    <row r="21"/>
    <row r="22">
      <c r="A22" s="6" t="inlineStr">
        <is>
          <t>Loja</t>
        </is>
      </c>
      <c r="B22" s="6" t="inlineStr">
        <is>
          <t>Produto</t>
        </is>
      </c>
      <c r="C22" s="6" t="inlineStr">
        <is>
          <t>Valor · Janeiro 2025</t>
        </is>
      </c>
      <c r="D22" s="6" t="inlineStr">
        <is>
          <t>Valor · Fevereiro 2025</t>
        </is>
      </c>
      <c r="E22" s="6" t="inlineStr">
        <is>
          <t>Diferença</t>
        </is>
      </c>
      <c r="F22" s="6" t="inlineStr">
        <is>
          <t>Variação %</t>
        </is>
      </c>
    </row>
    <row r="23">
      <c r="A23" s="7" t="inlineStr">
        <is>
          <t>Loja Leste</t>
        </is>
      </c>
      <c r="B23" s="7" t="inlineStr">
        <is>
          <t>Jaqueta Couro</t>
        </is>
      </c>
      <c r="C23" s="10" t="n">
        <v>1061.77</v>
      </c>
      <c r="D23" s="10" t="n">
        <v>4427.16</v>
      </c>
      <c r="E23" s="10" t="n">
        <v>3365.39</v>
      </c>
      <c r="F23" s="11" t="n">
        <v>3.169603586464112</v>
      </c>
    </row>
    <row r="24">
      <c r="A24" s="7" t="inlineStr">
        <is>
          <t>Loja Norte</t>
        </is>
      </c>
      <c r="B24" s="7" t="inlineStr">
        <is>
          <t>Jaqueta Couro</t>
        </is>
      </c>
      <c r="C24" s="10" t="n">
        <v>1151.95</v>
      </c>
      <c r="D24" s="10" t="n">
        <v>2067.32</v>
      </c>
      <c r="E24" s="10" t="n">
        <v>915.3700000000001</v>
      </c>
      <c r="F24" s="11" t="n">
        <v>0.7946265028864101</v>
      </c>
    </row>
    <row r="25">
      <c r="A25" s="7" t="inlineStr">
        <is>
          <t>Loja Sul</t>
        </is>
      </c>
      <c r="B25" s="7" t="inlineStr">
        <is>
          <t>Jaqueta Couro</t>
        </is>
      </c>
      <c r="C25" s="10" t="n">
        <v>1149.39</v>
      </c>
      <c r="D25" s="10" t="n">
        <v>1843.22</v>
      </c>
      <c r="E25" s="10" t="n">
        <v>693.8299999999999</v>
      </c>
      <c r="F25" s="11" t="n">
        <v>0.6036506320744046</v>
      </c>
    </row>
    <row r="26">
      <c r="A26" s="7" t="inlineStr">
        <is>
          <t>Loja Centro</t>
        </is>
      </c>
      <c r="B26" s="7" t="inlineStr">
        <is>
          <t>Polo Lisa</t>
        </is>
      </c>
      <c r="C26" s="10" t="n">
        <v>902.9</v>
      </c>
      <c r="D26" s="10" t="n">
        <v>510.66</v>
      </c>
      <c r="E26" s="10" t="n">
        <v>-392.24</v>
      </c>
      <c r="F26" s="11" t="n">
        <v>-0.4344224166574371</v>
      </c>
    </row>
    <row r="27">
      <c r="A27" s="7" t="inlineStr">
        <is>
          <t>Loja Oeste</t>
        </is>
      </c>
      <c r="B27" s="7" t="inlineStr">
        <is>
          <t>Sandália Tiras</t>
        </is>
      </c>
      <c r="C27" s="10" t="n">
        <v>661.54</v>
      </c>
      <c r="D27" s="10" t="n">
        <v>325.84</v>
      </c>
      <c r="E27" s="10" t="n">
        <v>-335.7</v>
      </c>
      <c r="F27" s="11" t="n">
        <v>-0.507452308250446</v>
      </c>
    </row>
    <row r="28">
      <c r="A28" s="7" t="inlineStr">
        <is>
          <t>Loja Centro</t>
        </is>
      </c>
      <c r="B28" s="7" t="inlineStr">
        <is>
          <t>Jaqueta Couro</t>
        </is>
      </c>
      <c r="C28" s="10" t="n">
        <v>909.3099999999999</v>
      </c>
      <c r="D28" s="10" t="n">
        <v>1148.02</v>
      </c>
      <c r="E28" s="10" t="n">
        <v>238.71</v>
      </c>
      <c r="F28" s="11" t="n">
        <v>0.2625177332262925</v>
      </c>
    </row>
    <row r="29">
      <c r="A29" s="7" t="inlineStr">
        <is>
          <t>Loja Leste</t>
        </is>
      </c>
      <c r="B29" s="7" t="inlineStr">
        <is>
          <t>Tênis Casual</t>
        </is>
      </c>
      <c r="C29" s="10" t="n">
        <v>958.61</v>
      </c>
      <c r="D29" s="10" t="n">
        <v>744.83</v>
      </c>
      <c r="E29" s="10" t="n">
        <v>-213.78</v>
      </c>
      <c r="F29" s="11" t="n">
        <v>-0.2230104004756887</v>
      </c>
    </row>
    <row r="30">
      <c r="A30" s="7" t="inlineStr">
        <is>
          <t>Loja Oeste</t>
        </is>
      </c>
      <c r="B30" s="7" t="inlineStr">
        <is>
          <t>Tênis Casual</t>
        </is>
      </c>
      <c r="C30" s="10" t="n">
        <v>782.1</v>
      </c>
      <c r="D30" s="10" t="n">
        <v>982.46</v>
      </c>
      <c r="E30" s="10" t="n">
        <v>200.36</v>
      </c>
      <c r="F30" s="11" t="n">
        <v>0.2561820739035929</v>
      </c>
    </row>
    <row r="31">
      <c r="A31" s="7" t="inlineStr">
        <is>
          <t>Loja Sul</t>
        </is>
      </c>
      <c r="B31" s="7" t="inlineStr">
        <is>
          <t>Tênis Casual</t>
        </is>
      </c>
      <c r="C31" s="10" t="n">
        <v>922.89</v>
      </c>
      <c r="D31" s="10" t="n">
        <v>725.51</v>
      </c>
      <c r="E31" s="10" t="n">
        <v>-197.38</v>
      </c>
      <c r="F31" s="11" t="n">
        <v>-0.2138716423409074</v>
      </c>
    </row>
    <row r="32">
      <c r="A32" s="7" t="inlineStr">
        <is>
          <t>Loja Norte</t>
        </is>
      </c>
      <c r="B32" s="7" t="inlineStr">
        <is>
          <t>Tênis Casual</t>
        </is>
      </c>
      <c r="C32" s="10" t="n">
        <v>832.96</v>
      </c>
      <c r="D32" s="10" t="n">
        <v>1003.74</v>
      </c>
      <c r="E32" s="10" t="n">
        <v>170.78</v>
      </c>
      <c r="F32" s="11" t="n">
        <v>0.2050278524779101</v>
      </c>
    </row>
    <row r="33"/>
    <row r="34">
      <c r="A34" s="6" t="inlineStr">
        <is>
          <t>Rótulo</t>
        </is>
      </c>
      <c r="B34" s="6" t="inlineStr">
        <is>
          <t>Diferença</t>
        </is>
      </c>
    </row>
    <row r="35">
      <c r="A35" t="inlineStr">
        <is>
          <t>Loja Leste · Jaqueta Couro</t>
        </is>
      </c>
      <c r="B35" s="10" t="n">
        <v>3365.39</v>
      </c>
    </row>
    <row r="36">
      <c r="A36" t="inlineStr">
        <is>
          <t>Loja Norte · Jaqueta Couro</t>
        </is>
      </c>
      <c r="B36" s="10" t="n">
        <v>915.3700000000001</v>
      </c>
    </row>
    <row r="37">
      <c r="A37" t="inlineStr">
        <is>
          <t>Loja Sul · Jaqueta Couro</t>
        </is>
      </c>
      <c r="B37" s="10" t="n">
        <v>693.8299999999999</v>
      </c>
    </row>
    <row r="38">
      <c r="A38" t="inlineStr">
        <is>
          <t>Loja Centro · Polo Lisa</t>
        </is>
      </c>
      <c r="B38" s="10" t="n">
        <v>-392.24</v>
      </c>
    </row>
    <row r="39">
      <c r="A39" t="inlineStr">
        <is>
          <t>Loja Oeste · Sandália Tiras</t>
        </is>
      </c>
      <c r="B39" s="10" t="n">
        <v>-335.7</v>
      </c>
    </row>
    <row r="40">
      <c r="A40" t="inlineStr">
        <is>
          <t>Loja Centro · Jaqueta Couro</t>
        </is>
      </c>
      <c r="B40" s="10" t="n">
        <v>238.71</v>
      </c>
    </row>
    <row r="41">
      <c r="A41" t="inlineStr">
        <is>
          <t>Loja Leste · Tênis Casual</t>
        </is>
      </c>
      <c r="B41" s="10" t="n">
        <v>-213.78</v>
      </c>
    </row>
    <row r="42">
      <c r="A42" t="inlineStr">
        <is>
          <t>Loja Oeste · Tênis Casual</t>
        </is>
      </c>
      <c r="B42" s="10" t="n">
        <v>200.36</v>
      </c>
    </row>
    <row r="43">
      <c r="A43" t="inlineStr">
        <is>
          <t>Loja Sul · Tênis Casual</t>
        </is>
      </c>
      <c r="B43" s="10" t="n">
        <v>-197.38</v>
      </c>
    </row>
    <row r="44">
      <c r="A44" t="inlineStr">
        <is>
          <t>Loja Norte · Tênis Casual</t>
        </is>
      </c>
      <c r="B44" s="10" t="n">
        <v>170.78</v>
      </c>
    </row>
    <row r="45"/>
    <row r="46"/>
    <row r="47"/>
    <row r="48">
      <c r="A48" s="3" t="inlineStr">
        <is>
          <t>Leitura qualitativa</t>
        </is>
      </c>
    </row>
    <row r="49"/>
    <row r="50">
      <c r="A50" s="7" t="inlineStr">
        <is>
          <t>O resultado é misto · há ganhos e perdas distribuídos entre os casos.</t>
        </is>
      </c>
    </row>
    <row r="51"/>
    <row r="52">
      <c r="A52" s="3" t="inlineStr">
        <is>
          <t>Qualidade estrutural</t>
        </is>
      </c>
    </row>
    <row r="53"/>
    <row r="54">
      <c r="A54" s="7" t="inlineStr">
        <is>
          <t>A análise gerou 2 avisos estruturais. Nenhum bloqueio foi escapado.</t>
        </is>
      </c>
    </row>
  </sheetData>
  <mergeCells count="12">
    <mergeCell ref="A50:H50"/>
    <mergeCell ref="E6:F6"/>
    <mergeCell ref="C6:D6"/>
    <mergeCell ref="C7:D7"/>
    <mergeCell ref="A7:B7"/>
    <mergeCell ref="G7:H7"/>
    <mergeCell ref="E7:F7"/>
    <mergeCell ref="A2:H2"/>
    <mergeCell ref="A54:H54"/>
    <mergeCell ref="G6:H6"/>
    <mergeCell ref="A1:H1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</cols>
  <sheetData>
    <row r="1" ht="28" customHeight="1">
      <c r="A1" s="1" t="inlineStr">
        <is>
          <t>Matriz de Confronto</t>
        </is>
      </c>
    </row>
    <row r="2"/>
    <row r="3">
      <c r="A3" s="6" t="inlineStr">
        <is>
          <t>Loja</t>
        </is>
      </c>
      <c r="B3" s="6" t="inlineStr">
        <is>
          <t>Produto</t>
        </is>
      </c>
      <c r="C3" s="6" t="inlineStr">
        <is>
          <t>Valor · Janeiro 2025</t>
        </is>
      </c>
      <c r="D3" s="6" t="inlineStr">
        <is>
          <t>Valor · Fevereiro 2025</t>
        </is>
      </c>
      <c r="E3" s="6" t="inlineStr">
        <is>
          <t>Diferença</t>
        </is>
      </c>
      <c r="F3" s="6" t="inlineStr">
        <is>
          <t>Variação %</t>
        </is>
      </c>
      <c r="G3" s="6" t="inlineStr">
        <is>
          <t>Situação estrutural</t>
        </is>
      </c>
      <c r="H3" s="6" t="inlineStr">
        <is>
          <t>Leitura qualitativa</t>
        </is>
      </c>
    </row>
    <row r="4">
      <c r="A4" t="inlineStr">
        <is>
          <t>Loja Centro</t>
        </is>
      </c>
      <c r="B4" t="inlineStr">
        <is>
          <t>Bermuda Surf</t>
        </is>
      </c>
      <c r="C4" s="10" t="n">
        <v>100.11</v>
      </c>
      <c r="D4" s="10" t="n">
        <v>128.35</v>
      </c>
      <c r="E4" s="10" t="n">
        <v>28.23999999999999</v>
      </c>
      <c r="F4" s="11" t="n">
        <v>0.2820897013285386</v>
      </c>
      <c r="G4" s="12" t="inlineStr">
        <is>
          <t>Presente nos dois lados</t>
        </is>
      </c>
      <c r="H4" s="13" t="inlineStr">
        <is>
          <t>Melhorou</t>
        </is>
      </c>
    </row>
    <row r="5">
      <c r="A5" t="inlineStr">
        <is>
          <t>Loja Centro</t>
        </is>
      </c>
      <c r="B5" t="inlineStr">
        <is>
          <t>Boné Aba Reta</t>
        </is>
      </c>
      <c r="C5" s="10" t="n">
        <v>992.74</v>
      </c>
      <c r="D5" s="10" t="inlineStr">
        <is>
          <t>—</t>
        </is>
      </c>
      <c r="E5" s="10" t="inlineStr">
        <is>
          <t>—</t>
        </is>
      </c>
      <c r="F5" s="11" t="inlineStr">
        <is>
          <t>—</t>
        </is>
      </c>
      <c r="G5" s="14" t="inlineStr">
        <is>
          <t>Saiu da Origem</t>
        </is>
      </c>
      <c r="H5" s="12" t="inlineStr">
        <is>
          <t>Não aplicável</t>
        </is>
      </c>
    </row>
    <row r="6">
      <c r="A6" t="inlineStr">
        <is>
          <t>Loja Centro</t>
        </is>
      </c>
      <c r="B6" t="inlineStr">
        <is>
          <t>Calça Jeans</t>
        </is>
      </c>
      <c r="C6" s="10" t="n">
        <v>125.18</v>
      </c>
      <c r="D6" s="10" t="n">
        <v>116.64</v>
      </c>
      <c r="E6" s="10" t="n">
        <v>-8.540000000000006</v>
      </c>
      <c r="F6" s="11" t="n">
        <v>-0.06822176066464296</v>
      </c>
      <c r="G6" s="12" t="inlineStr">
        <is>
          <t>Presente nos dois lados</t>
        </is>
      </c>
      <c r="H6" s="15" t="inlineStr">
        <is>
          <t>Piorou</t>
        </is>
      </c>
    </row>
    <row r="7">
      <c r="A7" t="inlineStr">
        <is>
          <t>Loja Centro</t>
        </is>
      </c>
      <c r="B7" t="inlineStr">
        <is>
          <t>Camiseta Básica</t>
        </is>
      </c>
      <c r="C7" s="10" t="n">
        <v>578.63</v>
      </c>
      <c r="D7" s="10" t="n">
        <v>488.1</v>
      </c>
      <c r="E7" s="10" t="n">
        <v>-90.52999999999997</v>
      </c>
      <c r="F7" s="11" t="n">
        <v>-0.156455766206384</v>
      </c>
      <c r="G7" s="12" t="inlineStr">
        <is>
          <t>Presente nos dois lados</t>
        </is>
      </c>
      <c r="H7" s="15" t="inlineStr">
        <is>
          <t>Piorou</t>
        </is>
      </c>
    </row>
    <row r="8">
      <c r="A8" t="inlineStr">
        <is>
          <t>Loja Centro</t>
        </is>
      </c>
      <c r="B8" t="inlineStr">
        <is>
          <t>Cinto Preto</t>
        </is>
      </c>
      <c r="C8" s="10" t="n">
        <v>965.16</v>
      </c>
      <c r="D8" s="10" t="inlineStr">
        <is>
          <t>—</t>
        </is>
      </c>
      <c r="E8" s="10" t="inlineStr">
        <is>
          <t>—</t>
        </is>
      </c>
      <c r="F8" s="11" t="inlineStr">
        <is>
          <t>—</t>
        </is>
      </c>
      <c r="G8" s="14" t="inlineStr">
        <is>
          <t>Saiu da Origem</t>
        </is>
      </c>
      <c r="H8" s="12" t="inlineStr">
        <is>
          <t>Não aplicável</t>
        </is>
      </c>
    </row>
    <row r="9">
      <c r="A9" t="inlineStr">
        <is>
          <t>Loja Centro</t>
        </is>
      </c>
      <c r="B9" t="inlineStr">
        <is>
          <t>Jaqueta Couro</t>
        </is>
      </c>
      <c r="C9" s="10" t="n">
        <v>909.3099999999999</v>
      </c>
      <c r="D9" s="10" t="n">
        <v>1148.02</v>
      </c>
      <c r="E9" s="10" t="n">
        <v>238.71</v>
      </c>
      <c r="F9" s="11" t="n">
        <v>0.2625177332262925</v>
      </c>
      <c r="G9" s="12" t="inlineStr">
        <is>
          <t>Presente nos dois lados</t>
        </is>
      </c>
      <c r="H9" s="13" t="inlineStr">
        <is>
          <t>Melhorou</t>
        </is>
      </c>
    </row>
    <row r="10">
      <c r="A10" t="inlineStr">
        <is>
          <t>Loja Centro</t>
        </is>
      </c>
      <c r="B10" t="inlineStr">
        <is>
          <t>Meia Kit 3</t>
        </is>
      </c>
      <c r="C10" s="10" t="n">
        <v>171.49</v>
      </c>
      <c r="D10" s="10" t="inlineStr">
        <is>
          <t>—</t>
        </is>
      </c>
      <c r="E10" s="10" t="inlineStr">
        <is>
          <t>—</t>
        </is>
      </c>
      <c r="F10" s="11" t="inlineStr">
        <is>
          <t>—</t>
        </is>
      </c>
      <c r="G10" s="14" t="inlineStr">
        <is>
          <t>Saiu da Origem</t>
        </is>
      </c>
      <c r="H10" s="12" t="inlineStr">
        <is>
          <t>Não aplicável</t>
        </is>
      </c>
    </row>
    <row r="11">
      <c r="A11" t="inlineStr">
        <is>
          <t>Loja Centro</t>
        </is>
      </c>
      <c r="B11" t="inlineStr">
        <is>
          <t>Polo Lisa</t>
        </is>
      </c>
      <c r="C11" s="10" t="n">
        <v>902.9</v>
      </c>
      <c r="D11" s="10" t="n">
        <v>510.66</v>
      </c>
      <c r="E11" s="10" t="n">
        <v>-392.24</v>
      </c>
      <c r="F11" s="11" t="n">
        <v>-0.4344224166574371</v>
      </c>
      <c r="G11" s="12" t="inlineStr">
        <is>
          <t>Presente nos dois lados</t>
        </is>
      </c>
      <c r="H11" s="15" t="inlineStr">
        <is>
          <t>Piorou</t>
        </is>
      </c>
    </row>
    <row r="12">
      <c r="A12" t="inlineStr">
        <is>
          <t>Loja Centro</t>
        </is>
      </c>
      <c r="B12" t="inlineStr">
        <is>
          <t>Sandália Tiras</t>
        </is>
      </c>
      <c r="C12" s="10" t="n">
        <v>731.84</v>
      </c>
      <c r="D12" s="10" t="n">
        <v>733.22</v>
      </c>
      <c r="E12" s="10" t="n">
        <v>1.379999999999995</v>
      </c>
      <c r="F12" s="11" t="n">
        <v>0.001885658067337116</v>
      </c>
      <c r="G12" s="12" t="inlineStr">
        <is>
          <t>Presente nos dois lados</t>
        </is>
      </c>
      <c r="H12" s="12" t="inlineStr">
        <is>
          <t>Estável</t>
        </is>
      </c>
    </row>
    <row r="13">
      <c r="A13" t="inlineStr">
        <is>
          <t>Loja Centro</t>
        </is>
      </c>
      <c r="B13" t="inlineStr">
        <is>
          <t>Sapato Social</t>
        </is>
      </c>
      <c r="C13" s="10" t="inlineStr">
        <is>
          <t>—</t>
        </is>
      </c>
      <c r="D13" s="10" t="n">
        <v>311.92</v>
      </c>
      <c r="E13" s="10" t="inlineStr">
        <is>
          <t>—</t>
        </is>
      </c>
      <c r="F13" s="11" t="inlineStr">
        <is>
          <t>—</t>
        </is>
      </c>
      <c r="G13" s="14" t="inlineStr">
        <is>
          <t>Sem valor na Origem</t>
        </is>
      </c>
      <c r="H13" s="12" t="inlineStr">
        <is>
          <t>Não aplicável</t>
        </is>
      </c>
    </row>
    <row r="14">
      <c r="A14" t="inlineStr">
        <is>
          <t>Loja Centro</t>
        </is>
      </c>
      <c r="B14" t="inlineStr">
        <is>
          <t>Tênis Casual</t>
        </is>
      </c>
      <c r="C14" s="10" t="n">
        <v>846.14</v>
      </c>
      <c r="D14" s="10" t="n">
        <v>715.84</v>
      </c>
      <c r="E14" s="10" t="n">
        <v>-130.3</v>
      </c>
      <c r="F14" s="11" t="n">
        <v>-0.1539934289833833</v>
      </c>
      <c r="G14" s="12" t="inlineStr">
        <is>
          <t>Presente nos dois lados</t>
        </is>
      </c>
      <c r="H14" s="15" t="inlineStr">
        <is>
          <t>Piorou</t>
        </is>
      </c>
    </row>
    <row r="15">
      <c r="A15" t="inlineStr">
        <is>
          <t>Loja Centro</t>
        </is>
      </c>
      <c r="B15" t="inlineStr">
        <is>
          <t>Vestido Floral</t>
        </is>
      </c>
      <c r="C15" s="10" t="n">
        <v>58.83</v>
      </c>
      <c r="D15" s="10" t="n">
        <v>151.35</v>
      </c>
      <c r="E15" s="10" t="n">
        <v>92.52000000000002</v>
      </c>
      <c r="F15" s="11" t="n">
        <v>1.572667006629271</v>
      </c>
      <c r="G15" s="12" t="inlineStr">
        <is>
          <t>Presente nos dois lados</t>
        </is>
      </c>
      <c r="H15" s="13" t="inlineStr">
        <is>
          <t>Melhorou</t>
        </is>
      </c>
    </row>
    <row r="16">
      <c r="A16" t="inlineStr">
        <is>
          <t>Loja Leste</t>
        </is>
      </c>
      <c r="B16" t="inlineStr">
        <is>
          <t>Bermuda Surf</t>
        </is>
      </c>
      <c r="C16" s="10" t="n">
        <v>123.49</v>
      </c>
      <c r="D16" s="10" t="n">
        <v>130.17</v>
      </c>
      <c r="E16" s="10" t="n">
        <v>6.679999999999993</v>
      </c>
      <c r="F16" s="11" t="n">
        <v>0.054093448862256</v>
      </c>
      <c r="G16" s="12" t="inlineStr">
        <is>
          <t>Presente nos dois lados</t>
        </is>
      </c>
      <c r="H16" s="13" t="inlineStr">
        <is>
          <t>Melhorou</t>
        </is>
      </c>
    </row>
    <row r="17">
      <c r="A17" t="inlineStr">
        <is>
          <t>Loja Leste</t>
        </is>
      </c>
      <c r="B17" t="inlineStr">
        <is>
          <t>Boné Aba Reta</t>
        </is>
      </c>
      <c r="C17" s="10" t="n">
        <v>934.12</v>
      </c>
      <c r="D17" s="10" t="inlineStr">
        <is>
          <t>—</t>
        </is>
      </c>
      <c r="E17" s="10" t="inlineStr">
        <is>
          <t>—</t>
        </is>
      </c>
      <c r="F17" s="11" t="inlineStr">
        <is>
          <t>—</t>
        </is>
      </c>
      <c r="G17" s="14" t="inlineStr">
        <is>
          <t>Saiu da Origem</t>
        </is>
      </c>
      <c r="H17" s="12" t="inlineStr">
        <is>
          <t>Não aplicável</t>
        </is>
      </c>
    </row>
    <row r="18">
      <c r="A18" t="inlineStr">
        <is>
          <t>Loja Leste</t>
        </is>
      </c>
      <c r="B18" t="inlineStr">
        <is>
          <t>Calça Jeans</t>
        </is>
      </c>
      <c r="C18" s="10" t="n">
        <v>132.66</v>
      </c>
      <c r="D18" s="10" t="n">
        <v>143.67</v>
      </c>
      <c r="E18" s="10" t="n">
        <v>11.00999999999999</v>
      </c>
      <c r="F18" s="11" t="n">
        <v>0.08299412030755307</v>
      </c>
      <c r="G18" s="12" t="inlineStr">
        <is>
          <t>Presente nos dois lados</t>
        </is>
      </c>
      <c r="H18" s="13" t="inlineStr">
        <is>
          <t>Melhorou</t>
        </is>
      </c>
    </row>
    <row r="19">
      <c r="A19" t="inlineStr">
        <is>
          <t>Loja Leste</t>
        </is>
      </c>
      <c r="B19" t="inlineStr">
        <is>
          <t>Camiseta Básica</t>
        </is>
      </c>
      <c r="C19" s="10" t="n">
        <v>603.63</v>
      </c>
      <c r="D19" s="10" t="n">
        <v>501.39</v>
      </c>
      <c r="E19" s="10" t="n">
        <v>-102.24</v>
      </c>
      <c r="F19" s="11" t="n">
        <v>-0.1693752795586701</v>
      </c>
      <c r="G19" s="12" t="inlineStr">
        <is>
          <t>Presente nos dois lados</t>
        </is>
      </c>
      <c r="H19" s="15" t="inlineStr">
        <is>
          <t>Piorou</t>
        </is>
      </c>
    </row>
    <row r="20">
      <c r="A20" t="inlineStr">
        <is>
          <t>Loja Leste</t>
        </is>
      </c>
      <c r="B20" t="inlineStr">
        <is>
          <t>Cinto Preto</t>
        </is>
      </c>
      <c r="C20" s="10" t="n">
        <v>881.4400000000001</v>
      </c>
      <c r="D20" s="10" t="inlineStr">
        <is>
          <t>—</t>
        </is>
      </c>
      <c r="E20" s="10" t="inlineStr">
        <is>
          <t>—</t>
        </is>
      </c>
      <c r="F20" s="11" t="inlineStr">
        <is>
          <t>—</t>
        </is>
      </c>
      <c r="G20" s="14" t="inlineStr">
        <is>
          <t>Saiu da Origem</t>
        </is>
      </c>
      <c r="H20" s="12" t="inlineStr">
        <is>
          <t>Não aplicável</t>
        </is>
      </c>
    </row>
    <row r="21">
      <c r="A21" t="inlineStr">
        <is>
          <t>Loja Leste</t>
        </is>
      </c>
      <c r="B21" t="inlineStr">
        <is>
          <t>Jaqueta Couro</t>
        </is>
      </c>
      <c r="C21" s="10" t="n">
        <v>1061.77</v>
      </c>
      <c r="D21" s="10" t="n">
        <v>4427.16</v>
      </c>
      <c r="E21" s="10" t="n">
        <v>3365.39</v>
      </c>
      <c r="F21" s="11" t="n">
        <v>3.169603586464112</v>
      </c>
      <c r="G21" s="12" t="inlineStr">
        <is>
          <t>Presente nos dois lados</t>
        </is>
      </c>
      <c r="H21" s="13" t="inlineStr">
        <is>
          <t>Melhorou</t>
        </is>
      </c>
    </row>
    <row r="22">
      <c r="A22" t="inlineStr">
        <is>
          <t>Loja Leste</t>
        </is>
      </c>
      <c r="B22" t="inlineStr">
        <is>
          <t>Meia Kit 3</t>
        </is>
      </c>
      <c r="C22" s="10" t="n">
        <v>177.48</v>
      </c>
      <c r="D22" s="10" t="inlineStr">
        <is>
          <t>—</t>
        </is>
      </c>
      <c r="E22" s="10" t="inlineStr">
        <is>
          <t>—</t>
        </is>
      </c>
      <c r="F22" s="11" t="inlineStr">
        <is>
          <t>—</t>
        </is>
      </c>
      <c r="G22" s="14" t="inlineStr">
        <is>
          <t>Saiu da Origem</t>
        </is>
      </c>
      <c r="H22" s="12" t="inlineStr">
        <is>
          <t>Não aplicável</t>
        </is>
      </c>
    </row>
    <row r="23">
      <c r="A23" t="inlineStr">
        <is>
          <t>Loja Leste</t>
        </is>
      </c>
      <c r="B23" t="inlineStr">
        <is>
          <t>Polo Lisa</t>
        </is>
      </c>
      <c r="C23" s="10" t="n">
        <v>482.34</v>
      </c>
      <c r="D23" s="10" t="n">
        <v>525.88</v>
      </c>
      <c r="E23" s="10" t="n">
        <v>43.54000000000002</v>
      </c>
      <c r="F23" s="11" t="n">
        <v>0.09026827549031809</v>
      </c>
      <c r="G23" s="12" t="inlineStr">
        <is>
          <t>Presente nos dois lados</t>
        </is>
      </c>
      <c r="H23" s="13" t="inlineStr">
        <is>
          <t>Melhorou</t>
        </is>
      </c>
    </row>
    <row r="24">
      <c r="A24" t="inlineStr">
        <is>
          <t>Loja Leste</t>
        </is>
      </c>
      <c r="B24" t="inlineStr">
        <is>
          <t>Sandália Tiras</t>
        </is>
      </c>
      <c r="C24" s="10" t="n">
        <v>410.05</v>
      </c>
      <c r="D24" s="10" t="n">
        <v>326.16</v>
      </c>
      <c r="E24" s="10" t="n">
        <v>-83.88999999999999</v>
      </c>
      <c r="F24" s="11" t="n">
        <v>-0.2045848067308864</v>
      </c>
      <c r="G24" s="12" t="inlineStr">
        <is>
          <t>Presente nos dois lados</t>
        </is>
      </c>
      <c r="H24" s="15" t="inlineStr">
        <is>
          <t>Piorou</t>
        </is>
      </c>
    </row>
    <row r="25">
      <c r="A25" t="inlineStr">
        <is>
          <t>Loja Leste</t>
        </is>
      </c>
      <c r="B25" t="inlineStr">
        <is>
          <t>Sapato Social</t>
        </is>
      </c>
      <c r="C25" s="10" t="inlineStr">
        <is>
          <t>—</t>
        </is>
      </c>
      <c r="D25" s="10" t="n">
        <v>247.62</v>
      </c>
      <c r="E25" s="10" t="inlineStr">
        <is>
          <t>—</t>
        </is>
      </c>
      <c r="F25" s="11" t="inlineStr">
        <is>
          <t>—</t>
        </is>
      </c>
      <c r="G25" s="14" t="inlineStr">
        <is>
          <t>Sem valor na Origem</t>
        </is>
      </c>
      <c r="H25" s="12" t="inlineStr">
        <is>
          <t>Não aplicável</t>
        </is>
      </c>
    </row>
    <row r="26">
      <c r="A26" t="inlineStr">
        <is>
          <t>Loja Leste</t>
        </is>
      </c>
      <c r="B26" t="inlineStr">
        <is>
          <t>Tênis Casual</t>
        </is>
      </c>
      <c r="C26" s="10" t="n">
        <v>958.61</v>
      </c>
      <c r="D26" s="10" t="n">
        <v>744.83</v>
      </c>
      <c r="E26" s="10" t="n">
        <v>-213.78</v>
      </c>
      <c r="F26" s="11" t="n">
        <v>-0.2230104004756887</v>
      </c>
      <c r="G26" s="12" t="inlineStr">
        <is>
          <t>Presente nos dois lados</t>
        </is>
      </c>
      <c r="H26" s="15" t="inlineStr">
        <is>
          <t>Piorou</t>
        </is>
      </c>
    </row>
    <row r="27">
      <c r="A27" t="inlineStr">
        <is>
          <t>Loja Leste</t>
        </is>
      </c>
      <c r="B27" t="inlineStr">
        <is>
          <t>Vestido Floral</t>
        </is>
      </c>
      <c r="C27" s="10" t="inlineStr">
        <is>
          <t>—</t>
        </is>
      </c>
      <c r="D27" s="10" t="n">
        <v>105.54</v>
      </c>
      <c r="E27" s="10" t="inlineStr">
        <is>
          <t>—</t>
        </is>
      </c>
      <c r="F27" s="11" t="inlineStr">
        <is>
          <t>—</t>
        </is>
      </c>
      <c r="G27" s="14" t="inlineStr">
        <is>
          <t>Sem valor na Origem</t>
        </is>
      </c>
      <c r="H27" s="12" t="inlineStr">
        <is>
          <t>Não aplicável</t>
        </is>
      </c>
    </row>
    <row r="28">
      <c r="A28" t="inlineStr">
        <is>
          <t>Loja Norte</t>
        </is>
      </c>
      <c r="B28" t="inlineStr">
        <is>
          <t>Bermuda Surf</t>
        </is>
      </c>
      <c r="C28" s="10" t="n">
        <v>116.81</v>
      </c>
      <c r="D28" s="10" t="n">
        <v>112.13</v>
      </c>
      <c r="E28" s="10" t="n">
        <v>-4.680000000000007</v>
      </c>
      <c r="F28" s="11" t="n">
        <v>-0.04006506292269503</v>
      </c>
      <c r="G28" s="12" t="inlineStr">
        <is>
          <t>Presente nos dois lados</t>
        </is>
      </c>
      <c r="H28" s="15" t="inlineStr">
        <is>
          <t>Piorou</t>
        </is>
      </c>
    </row>
    <row r="29">
      <c r="A29" t="inlineStr">
        <is>
          <t>Loja Norte</t>
        </is>
      </c>
      <c r="B29" t="inlineStr">
        <is>
          <t>Boné Aba Reta</t>
        </is>
      </c>
      <c r="C29" s="10" t="n">
        <v>2255.28</v>
      </c>
      <c r="D29" s="10" t="inlineStr">
        <is>
          <t>—</t>
        </is>
      </c>
      <c r="E29" s="10" t="inlineStr">
        <is>
          <t>—</t>
        </is>
      </c>
      <c r="F29" s="11" t="inlineStr">
        <is>
          <t>—</t>
        </is>
      </c>
      <c r="G29" s="14" t="inlineStr">
        <is>
          <t>Saiu da Origem</t>
        </is>
      </c>
      <c r="H29" s="12" t="inlineStr">
        <is>
          <t>Não aplicável</t>
        </is>
      </c>
    </row>
    <row r="30">
      <c r="A30" t="inlineStr">
        <is>
          <t>Loja Norte</t>
        </is>
      </c>
      <c r="B30" t="inlineStr">
        <is>
          <t>Calça Jeans</t>
        </is>
      </c>
      <c r="C30" s="10" t="n">
        <v>116.58</v>
      </c>
      <c r="D30" s="10" t="n">
        <v>170.68</v>
      </c>
      <c r="E30" s="10" t="n">
        <v>54.10000000000001</v>
      </c>
      <c r="F30" s="11" t="n">
        <v>0.4640590152684853</v>
      </c>
      <c r="G30" s="12" t="inlineStr">
        <is>
          <t>Presente nos dois lados</t>
        </is>
      </c>
      <c r="H30" s="13" t="inlineStr">
        <is>
          <t>Melhorou</t>
        </is>
      </c>
    </row>
    <row r="31">
      <c r="A31" t="inlineStr">
        <is>
          <t>Loja Norte</t>
        </is>
      </c>
      <c r="B31" t="inlineStr">
        <is>
          <t>Camiseta Básica</t>
        </is>
      </c>
      <c r="C31" s="10" t="n">
        <v>487.45</v>
      </c>
      <c r="D31" s="10" t="inlineStr">
        <is>
          <t>—</t>
        </is>
      </c>
      <c r="E31" s="10" t="inlineStr">
        <is>
          <t>—</t>
        </is>
      </c>
      <c r="F31" s="11" t="inlineStr">
        <is>
          <t>—</t>
        </is>
      </c>
      <c r="G31" s="14" t="inlineStr">
        <is>
          <t>Sem valor no Comparado</t>
        </is>
      </c>
      <c r="H31" s="12" t="inlineStr">
        <is>
          <t>Não aplicável</t>
        </is>
      </c>
    </row>
    <row r="32">
      <c r="A32" t="inlineStr">
        <is>
          <t>Loja Norte</t>
        </is>
      </c>
      <c r="B32" t="inlineStr">
        <is>
          <t>Cinto Preto</t>
        </is>
      </c>
      <c r="C32" s="10" t="n">
        <v>966.85</v>
      </c>
      <c r="D32" s="10" t="inlineStr">
        <is>
          <t>—</t>
        </is>
      </c>
      <c r="E32" s="10" t="inlineStr">
        <is>
          <t>—</t>
        </is>
      </c>
      <c r="F32" s="11" t="inlineStr">
        <is>
          <t>—</t>
        </is>
      </c>
      <c r="G32" s="14" t="inlineStr">
        <is>
          <t>Saiu da Origem</t>
        </is>
      </c>
      <c r="H32" s="12" t="inlineStr">
        <is>
          <t>Não aplicável</t>
        </is>
      </c>
    </row>
    <row r="33">
      <c r="A33" t="inlineStr">
        <is>
          <t>Loja Norte</t>
        </is>
      </c>
      <c r="B33" t="inlineStr">
        <is>
          <t>Jaqueta Couro</t>
        </is>
      </c>
      <c r="C33" s="10" t="n">
        <v>1151.95</v>
      </c>
      <c r="D33" s="10" t="n">
        <v>2067.32</v>
      </c>
      <c r="E33" s="10" t="n">
        <v>915.3700000000001</v>
      </c>
      <c r="F33" s="11" t="n">
        <v>0.7946265028864101</v>
      </c>
      <c r="G33" s="12" t="inlineStr">
        <is>
          <t>Presente nos dois lados</t>
        </is>
      </c>
      <c r="H33" s="13" t="inlineStr">
        <is>
          <t>Melhorou</t>
        </is>
      </c>
    </row>
    <row r="34">
      <c r="A34" t="inlineStr">
        <is>
          <t>Loja Norte</t>
        </is>
      </c>
      <c r="B34" t="inlineStr">
        <is>
          <t>Meia Kit 3</t>
        </is>
      </c>
      <c r="C34" s="10" t="n">
        <v>147.46</v>
      </c>
      <c r="D34" s="10" t="inlineStr">
        <is>
          <t>—</t>
        </is>
      </c>
      <c r="E34" s="10" t="inlineStr">
        <is>
          <t>—</t>
        </is>
      </c>
      <c r="F34" s="11" t="inlineStr">
        <is>
          <t>—</t>
        </is>
      </c>
      <c r="G34" s="14" t="inlineStr">
        <is>
          <t>Saiu da Origem</t>
        </is>
      </c>
      <c r="H34" s="12" t="inlineStr">
        <is>
          <t>Não aplicável</t>
        </is>
      </c>
    </row>
    <row r="35">
      <c r="A35" t="inlineStr">
        <is>
          <t>Loja Norte</t>
        </is>
      </c>
      <c r="B35" t="inlineStr">
        <is>
          <t>Polo Lisa</t>
        </is>
      </c>
      <c r="C35" s="10" t="n">
        <v>394.69</v>
      </c>
      <c r="D35" s="10" t="n">
        <v>518.85</v>
      </c>
      <c r="E35" s="10" t="n">
        <v>124.16</v>
      </c>
      <c r="F35" s="11" t="n">
        <v>0.3145759963515671</v>
      </c>
      <c r="G35" s="12" t="inlineStr">
        <is>
          <t>Presente nos dois lados</t>
        </is>
      </c>
      <c r="H35" s="13" t="inlineStr">
        <is>
          <t>Melhorou</t>
        </is>
      </c>
    </row>
    <row r="36">
      <c r="A36" t="inlineStr">
        <is>
          <t>Loja Norte</t>
        </is>
      </c>
      <c r="B36" t="inlineStr">
        <is>
          <t>Sandália Tiras</t>
        </is>
      </c>
      <c r="C36" s="10" t="n">
        <v>453.3</v>
      </c>
      <c r="D36" s="10" t="n">
        <v>343.63</v>
      </c>
      <c r="E36" s="10" t="n">
        <v>-109.67</v>
      </c>
      <c r="F36" s="11" t="n">
        <v>-0.241936907125524</v>
      </c>
      <c r="G36" s="12" t="inlineStr">
        <is>
          <t>Presente nos dois lados</t>
        </is>
      </c>
      <c r="H36" s="15" t="inlineStr">
        <is>
          <t>Piorou</t>
        </is>
      </c>
    </row>
    <row r="37">
      <c r="A37" t="inlineStr">
        <is>
          <t>Loja Norte</t>
        </is>
      </c>
      <c r="B37" t="inlineStr">
        <is>
          <t>Sapato Social</t>
        </is>
      </c>
      <c r="C37" s="10" t="n">
        <v>266.51</v>
      </c>
      <c r="D37" s="10" t="n">
        <v>288.63</v>
      </c>
      <c r="E37" s="10" t="n">
        <v>22.12</v>
      </c>
      <c r="F37" s="11" t="n">
        <v>0.08299876177254138</v>
      </c>
      <c r="G37" s="12" t="inlineStr">
        <is>
          <t>Presente nos dois lados</t>
        </is>
      </c>
      <c r="H37" s="13" t="inlineStr">
        <is>
          <t>Melhorou</t>
        </is>
      </c>
    </row>
    <row r="38">
      <c r="A38" t="inlineStr">
        <is>
          <t>Loja Norte</t>
        </is>
      </c>
      <c r="B38" t="inlineStr">
        <is>
          <t>Tênis Casual</t>
        </is>
      </c>
      <c r="C38" s="10" t="n">
        <v>832.96</v>
      </c>
      <c r="D38" s="10" t="n">
        <v>1003.74</v>
      </c>
      <c r="E38" s="10" t="n">
        <v>170.78</v>
      </c>
      <c r="F38" s="11" t="n">
        <v>0.2050278524779101</v>
      </c>
      <c r="G38" s="12" t="inlineStr">
        <is>
          <t>Presente nos dois lados</t>
        </is>
      </c>
      <c r="H38" s="13" t="inlineStr">
        <is>
          <t>Melhorou</t>
        </is>
      </c>
    </row>
    <row r="39">
      <c r="A39" t="inlineStr">
        <is>
          <t>Loja Norte</t>
        </is>
      </c>
      <c r="B39" t="inlineStr">
        <is>
          <t>Vestido Floral</t>
        </is>
      </c>
      <c r="C39" s="10" t="n">
        <v>58.57</v>
      </c>
      <c r="D39" s="10" t="n">
        <v>125.64</v>
      </c>
      <c r="E39" s="10" t="n">
        <v>67.06999999999999</v>
      </c>
      <c r="F39" s="11" t="n">
        <v>1.145125490865631</v>
      </c>
      <c r="G39" s="12" t="inlineStr">
        <is>
          <t>Presente nos dois lados</t>
        </is>
      </c>
      <c r="H39" s="13" t="inlineStr">
        <is>
          <t>Melhorou</t>
        </is>
      </c>
    </row>
    <row r="40">
      <c r="A40" t="inlineStr">
        <is>
          <t>Loja Oeste</t>
        </is>
      </c>
      <c r="B40" t="inlineStr">
        <is>
          <t>Bermuda Surf</t>
        </is>
      </c>
      <c r="C40" s="10" t="n">
        <v>91.72</v>
      </c>
      <c r="D40" s="10" t="n">
        <v>123.06</v>
      </c>
      <c r="E40" s="10" t="n">
        <v>31.34</v>
      </c>
      <c r="F40" s="11" t="n">
        <v>0.3416921064108155</v>
      </c>
      <c r="G40" s="12" t="inlineStr">
        <is>
          <t>Presente nos dois lados</t>
        </is>
      </c>
      <c r="H40" s="13" t="inlineStr">
        <is>
          <t>Melhorou</t>
        </is>
      </c>
    </row>
    <row r="41">
      <c r="A41" t="inlineStr">
        <is>
          <t>Loja Oeste</t>
        </is>
      </c>
      <c r="B41" t="inlineStr">
        <is>
          <t>Boné Aba Reta</t>
        </is>
      </c>
      <c r="C41" s="10" t="n">
        <v>740.35</v>
      </c>
      <c r="D41" s="10" t="inlineStr">
        <is>
          <t>—</t>
        </is>
      </c>
      <c r="E41" s="10" t="inlineStr">
        <is>
          <t>—</t>
        </is>
      </c>
      <c r="F41" s="11" t="inlineStr">
        <is>
          <t>—</t>
        </is>
      </c>
      <c r="G41" s="14" t="inlineStr">
        <is>
          <t>Saiu da Origem</t>
        </is>
      </c>
      <c r="H41" s="12" t="inlineStr">
        <is>
          <t>Não aplicável</t>
        </is>
      </c>
    </row>
    <row r="42">
      <c r="A42" t="inlineStr">
        <is>
          <t>Loja Oeste</t>
        </is>
      </c>
      <c r="B42" t="inlineStr">
        <is>
          <t>Calça Jeans</t>
        </is>
      </c>
      <c r="C42" s="10" t="n">
        <v>124.88</v>
      </c>
      <c r="D42" s="10" t="n">
        <v>151.82</v>
      </c>
      <c r="E42" s="10" t="n">
        <v>26.94</v>
      </c>
      <c r="F42" s="11" t="n">
        <v>0.2157270980140935</v>
      </c>
      <c r="G42" s="12" t="inlineStr">
        <is>
          <t>Presente nos dois lados</t>
        </is>
      </c>
      <c r="H42" s="13" t="inlineStr">
        <is>
          <t>Melhorou</t>
        </is>
      </c>
    </row>
    <row r="43">
      <c r="A43" t="inlineStr">
        <is>
          <t>Loja Oeste</t>
        </is>
      </c>
      <c r="B43" t="inlineStr">
        <is>
          <t>Camiseta Básica</t>
        </is>
      </c>
      <c r="C43" s="10" t="n">
        <v>650.16</v>
      </c>
      <c r="D43" s="10" t="n">
        <v>493.74</v>
      </c>
      <c r="E43" s="10" t="n">
        <v>-156.42</v>
      </c>
      <c r="F43" s="11" t="n">
        <v>-0.2405869324473975</v>
      </c>
      <c r="G43" s="12" t="inlineStr">
        <is>
          <t>Presente nos dois lados</t>
        </is>
      </c>
      <c r="H43" s="15" t="inlineStr">
        <is>
          <t>Piorou</t>
        </is>
      </c>
    </row>
    <row r="44">
      <c r="A44" t="inlineStr">
        <is>
          <t>Loja Oeste</t>
        </is>
      </c>
      <c r="B44" t="inlineStr">
        <is>
          <t>Cinto Preto</t>
        </is>
      </c>
      <c r="C44" s="10" t="n">
        <v>980.08</v>
      </c>
      <c r="D44" s="10" t="inlineStr">
        <is>
          <t>—</t>
        </is>
      </c>
      <c r="E44" s="10" t="inlineStr">
        <is>
          <t>—</t>
        </is>
      </c>
      <c r="F44" s="11" t="inlineStr">
        <is>
          <t>—</t>
        </is>
      </c>
      <c r="G44" s="14" t="inlineStr">
        <is>
          <t>Saiu da Origem</t>
        </is>
      </c>
      <c r="H44" s="12" t="inlineStr">
        <is>
          <t>Não aplicável</t>
        </is>
      </c>
    </row>
    <row r="45">
      <c r="A45" t="inlineStr">
        <is>
          <t>Loja Oeste</t>
        </is>
      </c>
      <c r="B45" t="inlineStr">
        <is>
          <t>Jaqueta Couro</t>
        </is>
      </c>
      <c r="C45" s="10" t="n">
        <v>1102.96</v>
      </c>
      <c r="D45" s="10" t="n">
        <v>1113.65</v>
      </c>
      <c r="E45" s="10" t="n">
        <v>10.69000000000005</v>
      </c>
      <c r="F45" s="11" t="n">
        <v>0.0096921012548053</v>
      </c>
      <c r="G45" s="12" t="inlineStr">
        <is>
          <t>Presente nos dois lados</t>
        </is>
      </c>
      <c r="H45" s="12" t="inlineStr">
        <is>
          <t>Estável</t>
        </is>
      </c>
    </row>
    <row r="46">
      <c r="A46" t="inlineStr">
        <is>
          <t>Loja Oeste</t>
        </is>
      </c>
      <c r="B46" t="inlineStr">
        <is>
          <t>Meia Kit 3</t>
        </is>
      </c>
      <c r="C46" s="10" t="n">
        <v>139.09</v>
      </c>
      <c r="D46" s="10" t="inlineStr">
        <is>
          <t>—</t>
        </is>
      </c>
      <c r="E46" s="10" t="inlineStr">
        <is>
          <t>—</t>
        </is>
      </c>
      <c r="F46" s="11" t="inlineStr">
        <is>
          <t>—</t>
        </is>
      </c>
      <c r="G46" s="14" t="inlineStr">
        <is>
          <t>Saiu da Origem</t>
        </is>
      </c>
      <c r="H46" s="12" t="inlineStr">
        <is>
          <t>Não aplicável</t>
        </is>
      </c>
    </row>
    <row r="47">
      <c r="A47" t="inlineStr">
        <is>
          <t>Loja Oeste</t>
        </is>
      </c>
      <c r="B47" t="inlineStr">
        <is>
          <t>Polo Lisa</t>
        </is>
      </c>
      <c r="C47" s="10" t="n">
        <v>382.83</v>
      </c>
      <c r="D47" s="10" t="n">
        <v>442.41</v>
      </c>
      <c r="E47" s="10" t="n">
        <v>59.58000000000004</v>
      </c>
      <c r="F47" s="11" t="n">
        <v>0.1556304364861689</v>
      </c>
      <c r="G47" s="12" t="inlineStr">
        <is>
          <t>Presente nos dois lados</t>
        </is>
      </c>
      <c r="H47" s="13" t="inlineStr">
        <is>
          <t>Melhorou</t>
        </is>
      </c>
    </row>
    <row r="48">
      <c r="A48" t="inlineStr">
        <is>
          <t>Loja Oeste</t>
        </is>
      </c>
      <c r="B48" t="inlineStr">
        <is>
          <t>Sandália Tiras</t>
        </is>
      </c>
      <c r="C48" s="10" t="n">
        <v>661.54</v>
      </c>
      <c r="D48" s="10" t="n">
        <v>325.84</v>
      </c>
      <c r="E48" s="10" t="n">
        <v>-335.7</v>
      </c>
      <c r="F48" s="11" t="n">
        <v>-0.507452308250446</v>
      </c>
      <c r="G48" s="12" t="inlineStr">
        <is>
          <t>Presente nos dois lados</t>
        </is>
      </c>
      <c r="H48" s="15" t="inlineStr">
        <is>
          <t>Piorou</t>
        </is>
      </c>
    </row>
    <row r="49">
      <c r="A49" t="inlineStr">
        <is>
          <t>Loja Oeste</t>
        </is>
      </c>
      <c r="B49" t="inlineStr">
        <is>
          <t>Sapato Social</t>
        </is>
      </c>
      <c r="C49" s="10" t="n">
        <v>288.85</v>
      </c>
      <c r="D49" s="10" t="n">
        <v>252.43</v>
      </c>
      <c r="E49" s="10" t="n">
        <v>-36.42000000000002</v>
      </c>
      <c r="F49" s="11" t="n">
        <v>-0.1260862039120651</v>
      </c>
      <c r="G49" s="12" t="inlineStr">
        <is>
          <t>Presente nos dois lados</t>
        </is>
      </c>
      <c r="H49" s="15" t="inlineStr">
        <is>
          <t>Piorou</t>
        </is>
      </c>
    </row>
    <row r="50">
      <c r="A50" t="inlineStr">
        <is>
          <t>Loja Oeste</t>
        </is>
      </c>
      <c r="B50" t="inlineStr">
        <is>
          <t>Tênis Casual</t>
        </is>
      </c>
      <c r="C50" s="10" t="n">
        <v>782.1</v>
      </c>
      <c r="D50" s="10" t="n">
        <v>982.46</v>
      </c>
      <c r="E50" s="10" t="n">
        <v>200.36</v>
      </c>
      <c r="F50" s="11" t="n">
        <v>0.2561820739035929</v>
      </c>
      <c r="G50" s="12" t="inlineStr">
        <is>
          <t>Presente nos dois lados</t>
        </is>
      </c>
      <c r="H50" s="13" t="inlineStr">
        <is>
          <t>Melhorou</t>
        </is>
      </c>
    </row>
    <row r="51">
      <c r="A51" t="inlineStr">
        <is>
          <t>Loja Oeste</t>
        </is>
      </c>
      <c r="B51" t="inlineStr">
        <is>
          <t>Vestido Floral</t>
        </is>
      </c>
      <c r="C51" s="10" t="n">
        <v>65.44</v>
      </c>
      <c r="D51" s="10" t="n">
        <v>61.07</v>
      </c>
      <c r="E51" s="10" t="n">
        <v>-4.369999999999997</v>
      </c>
      <c r="F51" s="11" t="n">
        <v>-0.06677872860635693</v>
      </c>
      <c r="G51" s="12" t="inlineStr">
        <is>
          <t>Presente nos dois lados</t>
        </is>
      </c>
      <c r="H51" s="15" t="inlineStr">
        <is>
          <t>Piorou</t>
        </is>
      </c>
    </row>
    <row r="52">
      <c r="A52" t="inlineStr">
        <is>
          <t>Loja Sul</t>
        </is>
      </c>
      <c r="B52" t="inlineStr">
        <is>
          <t>Bermuda Surf</t>
        </is>
      </c>
      <c r="C52" s="10" t="n">
        <v>116.92</v>
      </c>
      <c r="D52" s="10" t="n">
        <v>93.92</v>
      </c>
      <c r="E52" s="10" t="n">
        <v>-23</v>
      </c>
      <c r="F52" s="11" t="n">
        <v>-0.196715703044817</v>
      </c>
      <c r="G52" s="12" t="inlineStr">
        <is>
          <t>Presente nos dois lados</t>
        </is>
      </c>
      <c r="H52" s="15" t="inlineStr">
        <is>
          <t>Piorou</t>
        </is>
      </c>
    </row>
    <row r="53">
      <c r="A53" t="inlineStr">
        <is>
          <t>Loja Sul</t>
        </is>
      </c>
      <c r="B53" t="inlineStr">
        <is>
          <t>Boné Aba Reta</t>
        </is>
      </c>
      <c r="C53" s="10" t="n">
        <v>938.63</v>
      </c>
      <c r="D53" s="10" t="inlineStr">
        <is>
          <t>—</t>
        </is>
      </c>
      <c r="E53" s="10" t="inlineStr">
        <is>
          <t>—</t>
        </is>
      </c>
      <c r="F53" s="11" t="inlineStr">
        <is>
          <t>—</t>
        </is>
      </c>
      <c r="G53" s="14" t="inlineStr">
        <is>
          <t>Saiu da Origem</t>
        </is>
      </c>
      <c r="H53" s="12" t="inlineStr">
        <is>
          <t>Não aplicável</t>
        </is>
      </c>
    </row>
    <row r="54">
      <c r="A54" t="inlineStr">
        <is>
          <t>Loja Sul</t>
        </is>
      </c>
      <c r="B54" t="inlineStr">
        <is>
          <t>Calça Jeans</t>
        </is>
      </c>
      <c r="C54" s="10" t="n">
        <v>156.56</v>
      </c>
      <c r="D54" s="10" t="n">
        <v>164.89</v>
      </c>
      <c r="E54" s="10" t="n">
        <v>8.329999999999984</v>
      </c>
      <c r="F54" s="11" t="n">
        <v>0.05320643842616239</v>
      </c>
      <c r="G54" s="12" t="inlineStr">
        <is>
          <t>Presente nos dois lados</t>
        </is>
      </c>
      <c r="H54" s="13" t="inlineStr">
        <is>
          <t>Melhorou</t>
        </is>
      </c>
    </row>
    <row r="55">
      <c r="A55" t="inlineStr">
        <is>
          <t>Loja Sul</t>
        </is>
      </c>
      <c r="B55" t="inlineStr">
        <is>
          <t>Camiseta Básica</t>
        </is>
      </c>
      <c r="C55" s="10" t="n">
        <v>451.68</v>
      </c>
      <c r="D55" s="10" t="n">
        <v>614.61</v>
      </c>
      <c r="E55" s="10" t="n">
        <v>162.93</v>
      </c>
      <c r="F55" s="11" t="n">
        <v>0.3607199787460149</v>
      </c>
      <c r="G55" s="12" t="inlineStr">
        <is>
          <t>Presente nos dois lados</t>
        </is>
      </c>
      <c r="H55" s="13" t="inlineStr">
        <is>
          <t>Melhorou</t>
        </is>
      </c>
    </row>
    <row r="56">
      <c r="A56" t="inlineStr">
        <is>
          <t>Loja Sul</t>
        </is>
      </c>
      <c r="B56" t="inlineStr">
        <is>
          <t>Cinto Preto</t>
        </is>
      </c>
      <c r="C56" s="10" t="n">
        <v>1142.28</v>
      </c>
      <c r="D56" s="10" t="inlineStr">
        <is>
          <t>—</t>
        </is>
      </c>
      <c r="E56" s="10" t="inlineStr">
        <is>
          <t>—</t>
        </is>
      </c>
      <c r="F56" s="11" t="inlineStr">
        <is>
          <t>—</t>
        </is>
      </c>
      <c r="G56" s="14" t="inlineStr">
        <is>
          <t>Saiu da Origem</t>
        </is>
      </c>
      <c r="H56" s="12" t="inlineStr">
        <is>
          <t>Não aplicável</t>
        </is>
      </c>
    </row>
    <row r="57">
      <c r="A57" t="inlineStr">
        <is>
          <t>Loja Sul</t>
        </is>
      </c>
      <c r="B57" t="inlineStr">
        <is>
          <t>Jaqueta Couro</t>
        </is>
      </c>
      <c r="C57" s="10" t="n">
        <v>1149.39</v>
      </c>
      <c r="D57" s="10" t="n">
        <v>1843.22</v>
      </c>
      <c r="E57" s="10" t="n">
        <v>693.8299999999999</v>
      </c>
      <c r="F57" s="11" t="n">
        <v>0.6036506320744046</v>
      </c>
      <c r="G57" s="12" t="inlineStr">
        <is>
          <t>Presente nos dois lados</t>
        </is>
      </c>
      <c r="H57" s="13" t="inlineStr">
        <is>
          <t>Melhorou</t>
        </is>
      </c>
    </row>
    <row r="58">
      <c r="A58" t="inlineStr">
        <is>
          <t>Loja Sul</t>
        </is>
      </c>
      <c r="B58" t="inlineStr">
        <is>
          <t>Meia Kit 3</t>
        </is>
      </c>
      <c r="C58" s="10" t="n">
        <v>149.26</v>
      </c>
      <c r="D58" s="10" t="inlineStr">
        <is>
          <t>—</t>
        </is>
      </c>
      <c r="E58" s="10" t="inlineStr">
        <is>
          <t>—</t>
        </is>
      </c>
      <c r="F58" s="11" t="inlineStr">
        <is>
          <t>—</t>
        </is>
      </c>
      <c r="G58" s="14" t="inlineStr">
        <is>
          <t>Saiu da Origem</t>
        </is>
      </c>
      <c r="H58" s="12" t="inlineStr">
        <is>
          <t>Não aplicável</t>
        </is>
      </c>
    </row>
    <row r="59">
      <c r="A59" t="inlineStr">
        <is>
          <t>Loja Sul</t>
        </is>
      </c>
      <c r="B59" t="inlineStr">
        <is>
          <t>Polo Lisa</t>
        </is>
      </c>
      <c r="C59" s="10" t="n">
        <v>448.57</v>
      </c>
      <c r="D59" s="10" t="n">
        <v>409.42</v>
      </c>
      <c r="E59" s="10" t="n">
        <v>-39.14999999999998</v>
      </c>
      <c r="F59" s="11" t="n">
        <v>-0.08727734801703185</v>
      </c>
      <c r="G59" s="12" t="inlineStr">
        <is>
          <t>Presente nos dois lados</t>
        </is>
      </c>
      <c r="H59" s="15" t="inlineStr">
        <is>
          <t>Piorou</t>
        </is>
      </c>
    </row>
    <row r="60">
      <c r="A60" t="inlineStr">
        <is>
          <t>Loja Sul</t>
        </is>
      </c>
      <c r="B60" t="inlineStr">
        <is>
          <t>Sandália Tiras</t>
        </is>
      </c>
      <c r="C60" s="10" t="n">
        <v>431.53</v>
      </c>
      <c r="D60" s="10" t="n">
        <v>341.74</v>
      </c>
      <c r="E60" s="10" t="n">
        <v>-89.78999999999996</v>
      </c>
      <c r="F60" s="11" t="n">
        <v>-0.2080735985910596</v>
      </c>
      <c r="G60" s="12" t="inlineStr">
        <is>
          <t>Presente nos dois lados</t>
        </is>
      </c>
      <c r="H60" s="15" t="inlineStr">
        <is>
          <t>Piorou</t>
        </is>
      </c>
    </row>
    <row r="61">
      <c r="A61" t="inlineStr">
        <is>
          <t>Loja Sul</t>
        </is>
      </c>
      <c r="B61" t="inlineStr">
        <is>
          <t>Sapato Social</t>
        </is>
      </c>
      <c r="C61" s="10" t="n">
        <v>319.56</v>
      </c>
      <c r="D61" s="10" t="n">
        <v>322.99</v>
      </c>
      <c r="E61" s="10" t="n">
        <v>3.430000000000007</v>
      </c>
      <c r="F61" s="11" t="n">
        <v>0.01073350857428967</v>
      </c>
      <c r="G61" s="12" t="inlineStr">
        <is>
          <t>Presente nos dois lados</t>
        </is>
      </c>
      <c r="H61" s="13" t="inlineStr">
        <is>
          <t>Melhorou</t>
        </is>
      </c>
    </row>
    <row r="62">
      <c r="A62" t="inlineStr">
        <is>
          <t>Loja Sul</t>
        </is>
      </c>
      <c r="B62" t="inlineStr">
        <is>
          <t>Tênis Casual</t>
        </is>
      </c>
      <c r="C62" s="10" t="n">
        <v>922.89</v>
      </c>
      <c r="D62" s="10" t="n">
        <v>725.51</v>
      </c>
      <c r="E62" s="10" t="n">
        <v>-197.38</v>
      </c>
      <c r="F62" s="11" t="n">
        <v>-0.2138716423409074</v>
      </c>
      <c r="G62" s="12" t="inlineStr">
        <is>
          <t>Presente nos dois lados</t>
        </is>
      </c>
      <c r="H62" s="15" t="inlineStr">
        <is>
          <t>Piorou</t>
        </is>
      </c>
    </row>
    <row r="63">
      <c r="A63" t="inlineStr">
        <is>
          <t>Loja Sul</t>
        </is>
      </c>
      <c r="B63" t="inlineStr">
        <is>
          <t>Vestido Floral</t>
        </is>
      </c>
      <c r="C63" s="10" t="n">
        <v>52.84</v>
      </c>
      <c r="D63" s="10" t="n">
        <v>48.71</v>
      </c>
      <c r="E63" s="10" t="n">
        <v>-4.130000000000003</v>
      </c>
      <c r="F63" s="11" t="n">
        <v>-0.07816048448145349</v>
      </c>
      <c r="G63" s="12" t="inlineStr">
        <is>
          <t>Presente nos dois lados</t>
        </is>
      </c>
      <c r="H63" s="15" t="inlineStr">
        <is>
          <t>Piorou</t>
        </is>
      </c>
    </row>
    <row r="64">
      <c r="C64">
        <f>SUBTOTAL(109,C4:C63)</f>
        <v/>
      </c>
      <c r="D64">
        <f>SUBTOTAL(109,D4:D63)</f>
        <v/>
      </c>
      <c r="E64">
        <f>SUBTOTAL(109,E4:E63)</f>
        <v/>
      </c>
      <c r="F64">
        <f>SUBTOTAL(101,F4:F63)</f>
        <v/>
      </c>
    </row>
  </sheetData>
  <mergeCells count="1">
    <mergeCell ref="A1:H1"/>
  </mergeCells>
  <conditionalFormatting sqref="E4:E63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F4:F63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  <col width="24" customWidth="1" min="9" max="9"/>
  </cols>
  <sheetData>
    <row r="1" ht="28" customHeight="1">
      <c r="A1" s="1" t="inlineStr">
        <is>
          <t>Base Analítica</t>
        </is>
      </c>
    </row>
    <row r="2"/>
    <row r="3">
      <c r="A3" s="6" t="inlineStr">
        <is>
          <t>Loja</t>
        </is>
      </c>
      <c r="B3" s="6" t="inlineStr">
        <is>
          <t>Produto</t>
        </is>
      </c>
      <c r="C3" s="6" t="inlineStr">
        <is>
          <t>Valor · Janeiro 2025</t>
        </is>
      </c>
      <c r="D3" s="6" t="inlineStr">
        <is>
          <t>Valor · Fevereiro 2025</t>
        </is>
      </c>
      <c r="E3" s="6" t="inlineStr">
        <is>
          <t>Diferença</t>
        </is>
      </c>
      <c r="F3" s="6" t="inlineStr">
        <is>
          <t>Variação %</t>
        </is>
      </c>
      <c r="G3" s="6" t="inlineStr">
        <is>
          <t>Situação estrutural</t>
        </is>
      </c>
      <c r="H3" s="6" t="inlineStr">
        <is>
          <t>Leitura qualitativa</t>
        </is>
      </c>
      <c r="I3" s="6" t="inlineStr">
        <is>
          <t>Observações</t>
        </is>
      </c>
    </row>
    <row r="4">
      <c r="A4" t="inlineStr">
        <is>
          <t>Loja Centro</t>
        </is>
      </c>
      <c r="B4" t="inlineStr">
        <is>
          <t>Bermuda Surf</t>
        </is>
      </c>
      <c r="C4" s="10" t="n">
        <v>100.11</v>
      </c>
      <c r="D4" s="10" t="n">
        <v>128.35</v>
      </c>
      <c r="E4" s="10" t="n">
        <v>28.23999999999999</v>
      </c>
      <c r="F4" s="11" t="n">
        <v>0.2820897013285386</v>
      </c>
      <c r="G4" s="12" t="inlineStr">
        <is>
          <t>Presente nos dois lados</t>
        </is>
      </c>
      <c r="H4" s="13" t="inlineStr">
        <is>
          <t>Melhorou</t>
        </is>
      </c>
      <c r="I4" s="7" t="inlineStr">
        <is>
          <t>—</t>
        </is>
      </c>
    </row>
    <row r="5">
      <c r="A5" t="inlineStr">
        <is>
          <t>Loja Centro</t>
        </is>
      </c>
      <c r="B5" t="inlineStr">
        <is>
          <t>Boné Aba Reta</t>
        </is>
      </c>
      <c r="C5" s="10" t="n">
        <v>992.74</v>
      </c>
      <c r="D5" s="10" t="inlineStr">
        <is>
          <t>—</t>
        </is>
      </c>
      <c r="E5" s="10" t="inlineStr">
        <is>
          <t>—</t>
        </is>
      </c>
      <c r="F5" s="11" t="inlineStr">
        <is>
          <t>—</t>
        </is>
      </c>
      <c r="G5" s="14" t="inlineStr">
        <is>
          <t>Saiu da Origem</t>
        </is>
      </c>
      <c r="H5" s="12" t="inlineStr">
        <is>
          <t>Não aplicável</t>
        </is>
      </c>
      <c r="I5" s="7" t="inlineStr">
        <is>
          <t>Saiu da Origem</t>
        </is>
      </c>
    </row>
    <row r="6">
      <c r="A6" t="inlineStr">
        <is>
          <t>Loja Centro</t>
        </is>
      </c>
      <c r="B6" t="inlineStr">
        <is>
          <t>Calça Jeans</t>
        </is>
      </c>
      <c r="C6" s="10" t="n">
        <v>125.18</v>
      </c>
      <c r="D6" s="10" t="n">
        <v>116.64</v>
      </c>
      <c r="E6" s="10" t="n">
        <v>-8.540000000000006</v>
      </c>
      <c r="F6" s="11" t="n">
        <v>-0.06822176066464296</v>
      </c>
      <c r="G6" s="12" t="inlineStr">
        <is>
          <t>Presente nos dois lados</t>
        </is>
      </c>
      <c r="H6" s="15" t="inlineStr">
        <is>
          <t>Piorou</t>
        </is>
      </c>
      <c r="I6" s="7" t="inlineStr">
        <is>
          <t>—</t>
        </is>
      </c>
    </row>
    <row r="7">
      <c r="A7" t="inlineStr">
        <is>
          <t>Loja Centro</t>
        </is>
      </c>
      <c r="B7" t="inlineStr">
        <is>
          <t>Camiseta Básica</t>
        </is>
      </c>
      <c r="C7" s="10" t="n">
        <v>578.63</v>
      </c>
      <c r="D7" s="10" t="n">
        <v>488.1</v>
      </c>
      <c r="E7" s="10" t="n">
        <v>-90.52999999999997</v>
      </c>
      <c r="F7" s="11" t="n">
        <v>-0.156455766206384</v>
      </c>
      <c r="G7" s="12" t="inlineStr">
        <is>
          <t>Presente nos dois lados</t>
        </is>
      </c>
      <c r="H7" s="15" t="inlineStr">
        <is>
          <t>Piorou</t>
        </is>
      </c>
      <c r="I7" s="7" t="inlineStr">
        <is>
          <t>—</t>
        </is>
      </c>
    </row>
    <row r="8">
      <c r="A8" t="inlineStr">
        <is>
          <t>Loja Centro</t>
        </is>
      </c>
      <c r="B8" t="inlineStr">
        <is>
          <t>Cinto Preto</t>
        </is>
      </c>
      <c r="C8" s="10" t="n">
        <v>965.16</v>
      </c>
      <c r="D8" s="10" t="inlineStr">
        <is>
          <t>—</t>
        </is>
      </c>
      <c r="E8" s="10" t="inlineStr">
        <is>
          <t>—</t>
        </is>
      </c>
      <c r="F8" s="11" t="inlineStr">
        <is>
          <t>—</t>
        </is>
      </c>
      <c r="G8" s="14" t="inlineStr">
        <is>
          <t>Saiu da Origem</t>
        </is>
      </c>
      <c r="H8" s="12" t="inlineStr">
        <is>
          <t>Não aplicável</t>
        </is>
      </c>
      <c r="I8" s="7" t="inlineStr">
        <is>
          <t>Saiu da Origem</t>
        </is>
      </c>
    </row>
    <row r="9">
      <c r="A9" t="inlineStr">
        <is>
          <t>Loja Centro</t>
        </is>
      </c>
      <c r="B9" t="inlineStr">
        <is>
          <t>Jaqueta Couro</t>
        </is>
      </c>
      <c r="C9" s="10" t="n">
        <v>909.3099999999999</v>
      </c>
      <c r="D9" s="10" t="n">
        <v>1148.02</v>
      </c>
      <c r="E9" s="10" t="n">
        <v>238.71</v>
      </c>
      <c r="F9" s="11" t="n">
        <v>0.2625177332262925</v>
      </c>
      <c r="G9" s="12" t="inlineStr">
        <is>
          <t>Presente nos dois lados</t>
        </is>
      </c>
      <c r="H9" s="13" t="inlineStr">
        <is>
          <t>Melhorou</t>
        </is>
      </c>
      <c r="I9" s="7" t="inlineStr">
        <is>
          <t>—</t>
        </is>
      </c>
    </row>
    <row r="10">
      <c r="A10" t="inlineStr">
        <is>
          <t>Loja Centro</t>
        </is>
      </c>
      <c r="B10" t="inlineStr">
        <is>
          <t>Meia Kit 3</t>
        </is>
      </c>
      <c r="C10" s="10" t="n">
        <v>171.49</v>
      </c>
      <c r="D10" s="10" t="inlineStr">
        <is>
          <t>—</t>
        </is>
      </c>
      <c r="E10" s="10" t="inlineStr">
        <is>
          <t>—</t>
        </is>
      </c>
      <c r="F10" s="11" t="inlineStr">
        <is>
          <t>—</t>
        </is>
      </c>
      <c r="G10" s="14" t="inlineStr">
        <is>
          <t>Saiu da Origem</t>
        </is>
      </c>
      <c r="H10" s="12" t="inlineStr">
        <is>
          <t>Não aplicável</t>
        </is>
      </c>
      <c r="I10" s="7" t="inlineStr">
        <is>
          <t>Saiu da Origem</t>
        </is>
      </c>
    </row>
    <row r="11">
      <c r="A11" t="inlineStr">
        <is>
          <t>Loja Centro</t>
        </is>
      </c>
      <c r="B11" t="inlineStr">
        <is>
          <t>Polo Lisa</t>
        </is>
      </c>
      <c r="C11" s="10" t="n">
        <v>902.9</v>
      </c>
      <c r="D11" s="10" t="n">
        <v>510.66</v>
      </c>
      <c r="E11" s="10" t="n">
        <v>-392.24</v>
      </c>
      <c r="F11" s="11" t="n">
        <v>-0.4344224166574371</v>
      </c>
      <c r="G11" s="12" t="inlineStr">
        <is>
          <t>Presente nos dois lados</t>
        </is>
      </c>
      <c r="H11" s="15" t="inlineStr">
        <is>
          <t>Piorou</t>
        </is>
      </c>
      <c r="I11" s="7" t="inlineStr">
        <is>
          <t>—</t>
        </is>
      </c>
    </row>
    <row r="12">
      <c r="A12" t="inlineStr">
        <is>
          <t>Loja Centro</t>
        </is>
      </c>
      <c r="B12" t="inlineStr">
        <is>
          <t>Sandália Tiras</t>
        </is>
      </c>
      <c r="C12" s="10" t="n">
        <v>731.84</v>
      </c>
      <c r="D12" s="10" t="n">
        <v>733.22</v>
      </c>
      <c r="E12" s="10" t="n">
        <v>1.379999999999995</v>
      </c>
      <c r="F12" s="11" t="n">
        <v>0.001885658067337116</v>
      </c>
      <c r="G12" s="12" t="inlineStr">
        <is>
          <t>Presente nos dois lados</t>
        </is>
      </c>
      <c r="H12" s="12" t="inlineStr">
        <is>
          <t>Estável</t>
        </is>
      </c>
      <c r="I12" s="7" t="inlineStr">
        <is>
          <t>—</t>
        </is>
      </c>
    </row>
    <row r="13">
      <c r="A13" t="inlineStr">
        <is>
          <t>Loja Centro</t>
        </is>
      </c>
      <c r="B13" t="inlineStr">
        <is>
          <t>Sapato Social</t>
        </is>
      </c>
      <c r="C13" s="10" t="inlineStr">
        <is>
          <t>—</t>
        </is>
      </c>
      <c r="D13" s="10" t="n">
        <v>311.92</v>
      </c>
      <c r="E13" s="10" t="inlineStr">
        <is>
          <t>—</t>
        </is>
      </c>
      <c r="F13" s="11" t="inlineStr">
        <is>
          <t>—</t>
        </is>
      </c>
      <c r="G13" s="14" t="inlineStr">
        <is>
          <t>Sem valor na Origem</t>
        </is>
      </c>
      <c r="H13" s="12" t="inlineStr">
        <is>
          <t>Não aplicável</t>
        </is>
      </c>
      <c r="I13" s="7" t="inlineStr">
        <is>
          <t>Sem valor na Origem</t>
        </is>
      </c>
    </row>
    <row r="14">
      <c r="A14" t="inlineStr">
        <is>
          <t>Loja Centro</t>
        </is>
      </c>
      <c r="B14" t="inlineStr">
        <is>
          <t>Tênis Casual</t>
        </is>
      </c>
      <c r="C14" s="10" t="n">
        <v>846.14</v>
      </c>
      <c r="D14" s="10" t="n">
        <v>715.84</v>
      </c>
      <c r="E14" s="10" t="n">
        <v>-130.3</v>
      </c>
      <c r="F14" s="11" t="n">
        <v>-0.1539934289833833</v>
      </c>
      <c r="G14" s="12" t="inlineStr">
        <is>
          <t>Presente nos dois lados</t>
        </is>
      </c>
      <c r="H14" s="15" t="inlineStr">
        <is>
          <t>Piorou</t>
        </is>
      </c>
      <c r="I14" s="7" t="inlineStr">
        <is>
          <t>—</t>
        </is>
      </c>
    </row>
    <row r="15">
      <c r="A15" t="inlineStr">
        <is>
          <t>Loja Centro</t>
        </is>
      </c>
      <c r="B15" t="inlineStr">
        <is>
          <t>Vestido Floral</t>
        </is>
      </c>
      <c r="C15" s="10" t="n">
        <v>58.83</v>
      </c>
      <c r="D15" s="10" t="n">
        <v>151.35</v>
      </c>
      <c r="E15" s="10" t="n">
        <v>92.52000000000002</v>
      </c>
      <c r="F15" s="11" t="n">
        <v>1.572667006629271</v>
      </c>
      <c r="G15" s="12" t="inlineStr">
        <is>
          <t>Presente nos dois lados</t>
        </is>
      </c>
      <c r="H15" s="13" t="inlineStr">
        <is>
          <t>Melhorou</t>
        </is>
      </c>
      <c r="I15" s="7" t="inlineStr">
        <is>
          <t>—</t>
        </is>
      </c>
    </row>
    <row r="16">
      <c r="A16" t="inlineStr">
        <is>
          <t>Loja Leste</t>
        </is>
      </c>
      <c r="B16" t="inlineStr">
        <is>
          <t>Bermuda Surf</t>
        </is>
      </c>
      <c r="C16" s="10" t="n">
        <v>123.49</v>
      </c>
      <c r="D16" s="10" t="n">
        <v>130.17</v>
      </c>
      <c r="E16" s="10" t="n">
        <v>6.679999999999993</v>
      </c>
      <c r="F16" s="11" t="n">
        <v>0.054093448862256</v>
      </c>
      <c r="G16" s="12" t="inlineStr">
        <is>
          <t>Presente nos dois lados</t>
        </is>
      </c>
      <c r="H16" s="13" t="inlineStr">
        <is>
          <t>Melhorou</t>
        </is>
      </c>
      <c r="I16" s="7" t="inlineStr">
        <is>
          <t>—</t>
        </is>
      </c>
    </row>
    <row r="17">
      <c r="A17" t="inlineStr">
        <is>
          <t>Loja Leste</t>
        </is>
      </c>
      <c r="B17" t="inlineStr">
        <is>
          <t>Boné Aba Reta</t>
        </is>
      </c>
      <c r="C17" s="10" t="n">
        <v>934.12</v>
      </c>
      <c r="D17" s="10" t="inlineStr">
        <is>
          <t>—</t>
        </is>
      </c>
      <c r="E17" s="10" t="inlineStr">
        <is>
          <t>—</t>
        </is>
      </c>
      <c r="F17" s="11" t="inlineStr">
        <is>
          <t>—</t>
        </is>
      </c>
      <c r="G17" s="14" t="inlineStr">
        <is>
          <t>Saiu da Origem</t>
        </is>
      </c>
      <c r="H17" s="12" t="inlineStr">
        <is>
          <t>Não aplicável</t>
        </is>
      </c>
      <c r="I17" s="7" t="inlineStr">
        <is>
          <t>Saiu da Origem</t>
        </is>
      </c>
    </row>
    <row r="18">
      <c r="A18" t="inlineStr">
        <is>
          <t>Loja Leste</t>
        </is>
      </c>
      <c r="B18" t="inlineStr">
        <is>
          <t>Calça Jeans</t>
        </is>
      </c>
      <c r="C18" s="10" t="n">
        <v>132.66</v>
      </c>
      <c r="D18" s="10" t="n">
        <v>143.67</v>
      </c>
      <c r="E18" s="10" t="n">
        <v>11.00999999999999</v>
      </c>
      <c r="F18" s="11" t="n">
        <v>0.08299412030755307</v>
      </c>
      <c r="G18" s="12" t="inlineStr">
        <is>
          <t>Presente nos dois lados</t>
        </is>
      </c>
      <c r="H18" s="13" t="inlineStr">
        <is>
          <t>Melhorou</t>
        </is>
      </c>
      <c r="I18" s="7" t="inlineStr">
        <is>
          <t>—</t>
        </is>
      </c>
    </row>
    <row r="19">
      <c r="A19" t="inlineStr">
        <is>
          <t>Loja Leste</t>
        </is>
      </c>
      <c r="B19" t="inlineStr">
        <is>
          <t>Camiseta Básica</t>
        </is>
      </c>
      <c r="C19" s="10" t="n">
        <v>603.63</v>
      </c>
      <c r="D19" s="10" t="n">
        <v>501.39</v>
      </c>
      <c r="E19" s="10" t="n">
        <v>-102.24</v>
      </c>
      <c r="F19" s="11" t="n">
        <v>-0.1693752795586701</v>
      </c>
      <c r="G19" s="12" t="inlineStr">
        <is>
          <t>Presente nos dois lados</t>
        </is>
      </c>
      <c r="H19" s="15" t="inlineStr">
        <is>
          <t>Piorou</t>
        </is>
      </c>
      <c r="I19" s="7" t="inlineStr">
        <is>
          <t>—</t>
        </is>
      </c>
    </row>
    <row r="20">
      <c r="A20" t="inlineStr">
        <is>
          <t>Loja Leste</t>
        </is>
      </c>
      <c r="B20" t="inlineStr">
        <is>
          <t>Cinto Preto</t>
        </is>
      </c>
      <c r="C20" s="10" t="n">
        <v>881.4400000000001</v>
      </c>
      <c r="D20" s="10" t="inlineStr">
        <is>
          <t>—</t>
        </is>
      </c>
      <c r="E20" s="10" t="inlineStr">
        <is>
          <t>—</t>
        </is>
      </c>
      <c r="F20" s="11" t="inlineStr">
        <is>
          <t>—</t>
        </is>
      </c>
      <c r="G20" s="14" t="inlineStr">
        <is>
          <t>Saiu da Origem</t>
        </is>
      </c>
      <c r="H20" s="12" t="inlineStr">
        <is>
          <t>Não aplicável</t>
        </is>
      </c>
      <c r="I20" s="7" t="inlineStr">
        <is>
          <t>Saiu da Origem</t>
        </is>
      </c>
    </row>
    <row r="21">
      <c r="A21" t="inlineStr">
        <is>
          <t>Loja Leste</t>
        </is>
      </c>
      <c r="B21" t="inlineStr">
        <is>
          <t>Jaqueta Couro</t>
        </is>
      </c>
      <c r="C21" s="10" t="n">
        <v>1061.77</v>
      </c>
      <c r="D21" s="10" t="n">
        <v>4427.16</v>
      </c>
      <c r="E21" s="10" t="n">
        <v>3365.39</v>
      </c>
      <c r="F21" s="11" t="n">
        <v>3.169603586464112</v>
      </c>
      <c r="G21" s="12" t="inlineStr">
        <is>
          <t>Presente nos dois lados</t>
        </is>
      </c>
      <c r="H21" s="13" t="inlineStr">
        <is>
          <t>Melhorou</t>
        </is>
      </c>
      <c r="I21" s="7" t="inlineStr">
        <is>
          <t>—</t>
        </is>
      </c>
    </row>
    <row r="22">
      <c r="A22" t="inlineStr">
        <is>
          <t>Loja Leste</t>
        </is>
      </c>
      <c r="B22" t="inlineStr">
        <is>
          <t>Meia Kit 3</t>
        </is>
      </c>
      <c r="C22" s="10" t="n">
        <v>177.48</v>
      </c>
      <c r="D22" s="10" t="inlineStr">
        <is>
          <t>—</t>
        </is>
      </c>
      <c r="E22" s="10" t="inlineStr">
        <is>
          <t>—</t>
        </is>
      </c>
      <c r="F22" s="11" t="inlineStr">
        <is>
          <t>—</t>
        </is>
      </c>
      <c r="G22" s="14" t="inlineStr">
        <is>
          <t>Saiu da Origem</t>
        </is>
      </c>
      <c r="H22" s="12" t="inlineStr">
        <is>
          <t>Não aplicável</t>
        </is>
      </c>
      <c r="I22" s="7" t="inlineStr">
        <is>
          <t>Saiu da Origem</t>
        </is>
      </c>
    </row>
    <row r="23">
      <c r="A23" t="inlineStr">
        <is>
          <t>Loja Leste</t>
        </is>
      </c>
      <c r="B23" t="inlineStr">
        <is>
          <t>Polo Lisa</t>
        </is>
      </c>
      <c r="C23" s="10" t="n">
        <v>482.34</v>
      </c>
      <c r="D23" s="10" t="n">
        <v>525.88</v>
      </c>
      <c r="E23" s="10" t="n">
        <v>43.54000000000002</v>
      </c>
      <c r="F23" s="11" t="n">
        <v>0.09026827549031809</v>
      </c>
      <c r="G23" s="12" t="inlineStr">
        <is>
          <t>Presente nos dois lados</t>
        </is>
      </c>
      <c r="H23" s="13" t="inlineStr">
        <is>
          <t>Melhorou</t>
        </is>
      </c>
      <c r="I23" s="7" t="inlineStr">
        <is>
          <t>—</t>
        </is>
      </c>
    </row>
    <row r="24">
      <c r="A24" t="inlineStr">
        <is>
          <t>Loja Leste</t>
        </is>
      </c>
      <c r="B24" t="inlineStr">
        <is>
          <t>Sandália Tiras</t>
        </is>
      </c>
      <c r="C24" s="10" t="n">
        <v>410.05</v>
      </c>
      <c r="D24" s="10" t="n">
        <v>326.16</v>
      </c>
      <c r="E24" s="10" t="n">
        <v>-83.88999999999999</v>
      </c>
      <c r="F24" s="11" t="n">
        <v>-0.2045848067308864</v>
      </c>
      <c r="G24" s="12" t="inlineStr">
        <is>
          <t>Presente nos dois lados</t>
        </is>
      </c>
      <c r="H24" s="15" t="inlineStr">
        <is>
          <t>Piorou</t>
        </is>
      </c>
      <c r="I24" s="7" t="inlineStr">
        <is>
          <t>—</t>
        </is>
      </c>
    </row>
    <row r="25">
      <c r="A25" t="inlineStr">
        <is>
          <t>Loja Leste</t>
        </is>
      </c>
      <c r="B25" t="inlineStr">
        <is>
          <t>Sapato Social</t>
        </is>
      </c>
      <c r="C25" s="10" t="inlineStr">
        <is>
          <t>—</t>
        </is>
      </c>
      <c r="D25" s="10" t="n">
        <v>247.62</v>
      </c>
      <c r="E25" s="10" t="inlineStr">
        <is>
          <t>—</t>
        </is>
      </c>
      <c r="F25" s="11" t="inlineStr">
        <is>
          <t>—</t>
        </is>
      </c>
      <c r="G25" s="14" t="inlineStr">
        <is>
          <t>Sem valor na Origem</t>
        </is>
      </c>
      <c r="H25" s="12" t="inlineStr">
        <is>
          <t>Não aplicável</t>
        </is>
      </c>
      <c r="I25" s="7" t="inlineStr">
        <is>
          <t>Sem valor na Origem</t>
        </is>
      </c>
    </row>
    <row r="26">
      <c r="A26" t="inlineStr">
        <is>
          <t>Loja Leste</t>
        </is>
      </c>
      <c r="B26" t="inlineStr">
        <is>
          <t>Tênis Casual</t>
        </is>
      </c>
      <c r="C26" s="10" t="n">
        <v>958.61</v>
      </c>
      <c r="D26" s="10" t="n">
        <v>744.83</v>
      </c>
      <c r="E26" s="10" t="n">
        <v>-213.78</v>
      </c>
      <c r="F26" s="11" t="n">
        <v>-0.2230104004756887</v>
      </c>
      <c r="G26" s="12" t="inlineStr">
        <is>
          <t>Presente nos dois lados</t>
        </is>
      </c>
      <c r="H26" s="15" t="inlineStr">
        <is>
          <t>Piorou</t>
        </is>
      </c>
      <c r="I26" s="7" t="inlineStr">
        <is>
          <t>—</t>
        </is>
      </c>
    </row>
    <row r="27">
      <c r="A27" t="inlineStr">
        <is>
          <t>Loja Leste</t>
        </is>
      </c>
      <c r="B27" t="inlineStr">
        <is>
          <t>Vestido Floral</t>
        </is>
      </c>
      <c r="C27" s="10" t="inlineStr">
        <is>
          <t>—</t>
        </is>
      </c>
      <c r="D27" s="10" t="n">
        <v>105.54</v>
      </c>
      <c r="E27" s="10" t="inlineStr">
        <is>
          <t>—</t>
        </is>
      </c>
      <c r="F27" s="11" t="inlineStr">
        <is>
          <t>—</t>
        </is>
      </c>
      <c r="G27" s="14" t="inlineStr">
        <is>
          <t>Sem valor na Origem</t>
        </is>
      </c>
      <c r="H27" s="12" t="inlineStr">
        <is>
          <t>Não aplicável</t>
        </is>
      </c>
      <c r="I27" s="7" t="inlineStr">
        <is>
          <t>Sem valor na Origem</t>
        </is>
      </c>
    </row>
    <row r="28">
      <c r="A28" t="inlineStr">
        <is>
          <t>Loja Norte</t>
        </is>
      </c>
      <c r="B28" t="inlineStr">
        <is>
          <t>Bermuda Surf</t>
        </is>
      </c>
      <c r="C28" s="10" t="n">
        <v>116.81</v>
      </c>
      <c r="D28" s="10" t="n">
        <v>112.13</v>
      </c>
      <c r="E28" s="10" t="n">
        <v>-4.680000000000007</v>
      </c>
      <c r="F28" s="11" t="n">
        <v>-0.04006506292269503</v>
      </c>
      <c r="G28" s="12" t="inlineStr">
        <is>
          <t>Presente nos dois lados</t>
        </is>
      </c>
      <c r="H28" s="15" t="inlineStr">
        <is>
          <t>Piorou</t>
        </is>
      </c>
      <c r="I28" s="7" t="inlineStr">
        <is>
          <t>—</t>
        </is>
      </c>
    </row>
    <row r="29">
      <c r="A29" t="inlineStr">
        <is>
          <t>Loja Norte</t>
        </is>
      </c>
      <c r="B29" t="inlineStr">
        <is>
          <t>Boné Aba Reta</t>
        </is>
      </c>
      <c r="C29" s="10" t="n">
        <v>2255.28</v>
      </c>
      <c r="D29" s="10" t="inlineStr">
        <is>
          <t>—</t>
        </is>
      </c>
      <c r="E29" s="10" t="inlineStr">
        <is>
          <t>—</t>
        </is>
      </c>
      <c r="F29" s="11" t="inlineStr">
        <is>
          <t>—</t>
        </is>
      </c>
      <c r="G29" s="14" t="inlineStr">
        <is>
          <t>Saiu da Origem</t>
        </is>
      </c>
      <c r="H29" s="12" t="inlineStr">
        <is>
          <t>Não aplicável</t>
        </is>
      </c>
      <c r="I29" s="7" t="inlineStr">
        <is>
          <t>Saiu da Origem</t>
        </is>
      </c>
    </row>
    <row r="30">
      <c r="A30" t="inlineStr">
        <is>
          <t>Loja Norte</t>
        </is>
      </c>
      <c r="B30" t="inlineStr">
        <is>
          <t>Calça Jeans</t>
        </is>
      </c>
      <c r="C30" s="10" t="n">
        <v>116.58</v>
      </c>
      <c r="D30" s="10" t="n">
        <v>170.68</v>
      </c>
      <c r="E30" s="10" t="n">
        <v>54.10000000000001</v>
      </c>
      <c r="F30" s="11" t="n">
        <v>0.4640590152684853</v>
      </c>
      <c r="G30" s="12" t="inlineStr">
        <is>
          <t>Presente nos dois lados</t>
        </is>
      </c>
      <c r="H30" s="13" t="inlineStr">
        <is>
          <t>Melhorou</t>
        </is>
      </c>
      <c r="I30" s="7" t="inlineStr">
        <is>
          <t>—</t>
        </is>
      </c>
    </row>
    <row r="31">
      <c r="A31" t="inlineStr">
        <is>
          <t>Loja Norte</t>
        </is>
      </c>
      <c r="B31" t="inlineStr">
        <is>
          <t>Camiseta Básica</t>
        </is>
      </c>
      <c r="C31" s="10" t="n">
        <v>487.45</v>
      </c>
      <c r="D31" s="10" t="inlineStr">
        <is>
          <t>—</t>
        </is>
      </c>
      <c r="E31" s="10" t="inlineStr">
        <is>
          <t>—</t>
        </is>
      </c>
      <c r="F31" s="11" t="inlineStr">
        <is>
          <t>—</t>
        </is>
      </c>
      <c r="G31" s="14" t="inlineStr">
        <is>
          <t>Sem valor no Comparado</t>
        </is>
      </c>
      <c r="H31" s="12" t="inlineStr">
        <is>
          <t>Não aplicável</t>
        </is>
      </c>
      <c r="I31" s="7" t="inlineStr">
        <is>
          <t>Sem valor no Comparado</t>
        </is>
      </c>
    </row>
    <row r="32">
      <c r="A32" t="inlineStr">
        <is>
          <t>Loja Norte</t>
        </is>
      </c>
      <c r="B32" t="inlineStr">
        <is>
          <t>Cinto Preto</t>
        </is>
      </c>
      <c r="C32" s="10" t="n">
        <v>966.85</v>
      </c>
      <c r="D32" s="10" t="inlineStr">
        <is>
          <t>—</t>
        </is>
      </c>
      <c r="E32" s="10" t="inlineStr">
        <is>
          <t>—</t>
        </is>
      </c>
      <c r="F32" s="11" t="inlineStr">
        <is>
          <t>—</t>
        </is>
      </c>
      <c r="G32" s="14" t="inlineStr">
        <is>
          <t>Saiu da Origem</t>
        </is>
      </c>
      <c r="H32" s="12" t="inlineStr">
        <is>
          <t>Não aplicável</t>
        </is>
      </c>
      <c r="I32" s="7" t="inlineStr">
        <is>
          <t>Saiu da Origem</t>
        </is>
      </c>
    </row>
    <row r="33">
      <c r="A33" t="inlineStr">
        <is>
          <t>Loja Norte</t>
        </is>
      </c>
      <c r="B33" t="inlineStr">
        <is>
          <t>Jaqueta Couro</t>
        </is>
      </c>
      <c r="C33" s="10" t="n">
        <v>1151.95</v>
      </c>
      <c r="D33" s="10" t="n">
        <v>2067.32</v>
      </c>
      <c r="E33" s="10" t="n">
        <v>915.3700000000001</v>
      </c>
      <c r="F33" s="11" t="n">
        <v>0.7946265028864101</v>
      </c>
      <c r="G33" s="12" t="inlineStr">
        <is>
          <t>Presente nos dois lados</t>
        </is>
      </c>
      <c r="H33" s="13" t="inlineStr">
        <is>
          <t>Melhorou</t>
        </is>
      </c>
      <c r="I33" s="7" t="inlineStr">
        <is>
          <t>—</t>
        </is>
      </c>
    </row>
    <row r="34">
      <c r="A34" t="inlineStr">
        <is>
          <t>Loja Norte</t>
        </is>
      </c>
      <c r="B34" t="inlineStr">
        <is>
          <t>Meia Kit 3</t>
        </is>
      </c>
      <c r="C34" s="10" t="n">
        <v>147.46</v>
      </c>
      <c r="D34" s="10" t="inlineStr">
        <is>
          <t>—</t>
        </is>
      </c>
      <c r="E34" s="10" t="inlineStr">
        <is>
          <t>—</t>
        </is>
      </c>
      <c r="F34" s="11" t="inlineStr">
        <is>
          <t>—</t>
        </is>
      </c>
      <c r="G34" s="14" t="inlineStr">
        <is>
          <t>Saiu da Origem</t>
        </is>
      </c>
      <c r="H34" s="12" t="inlineStr">
        <is>
          <t>Não aplicável</t>
        </is>
      </c>
      <c r="I34" s="7" t="inlineStr">
        <is>
          <t>Saiu da Origem</t>
        </is>
      </c>
    </row>
    <row r="35">
      <c r="A35" t="inlineStr">
        <is>
          <t>Loja Norte</t>
        </is>
      </c>
      <c r="B35" t="inlineStr">
        <is>
          <t>Polo Lisa</t>
        </is>
      </c>
      <c r="C35" s="10" t="n">
        <v>394.69</v>
      </c>
      <c r="D35" s="10" t="n">
        <v>518.85</v>
      </c>
      <c r="E35" s="10" t="n">
        <v>124.16</v>
      </c>
      <c r="F35" s="11" t="n">
        <v>0.3145759963515671</v>
      </c>
      <c r="G35" s="12" t="inlineStr">
        <is>
          <t>Presente nos dois lados</t>
        </is>
      </c>
      <c r="H35" s="13" t="inlineStr">
        <is>
          <t>Melhorou</t>
        </is>
      </c>
      <c r="I35" s="7" t="inlineStr">
        <is>
          <t>—</t>
        </is>
      </c>
    </row>
    <row r="36">
      <c r="A36" t="inlineStr">
        <is>
          <t>Loja Norte</t>
        </is>
      </c>
      <c r="B36" t="inlineStr">
        <is>
          <t>Sandália Tiras</t>
        </is>
      </c>
      <c r="C36" s="10" t="n">
        <v>453.3</v>
      </c>
      <c r="D36" s="10" t="n">
        <v>343.63</v>
      </c>
      <c r="E36" s="10" t="n">
        <v>-109.67</v>
      </c>
      <c r="F36" s="11" t="n">
        <v>-0.241936907125524</v>
      </c>
      <c r="G36" s="12" t="inlineStr">
        <is>
          <t>Presente nos dois lados</t>
        </is>
      </c>
      <c r="H36" s="15" t="inlineStr">
        <is>
          <t>Piorou</t>
        </is>
      </c>
      <c r="I36" s="7" t="inlineStr">
        <is>
          <t>—</t>
        </is>
      </c>
    </row>
    <row r="37">
      <c r="A37" t="inlineStr">
        <is>
          <t>Loja Norte</t>
        </is>
      </c>
      <c r="B37" t="inlineStr">
        <is>
          <t>Sapato Social</t>
        </is>
      </c>
      <c r="C37" s="10" t="n">
        <v>266.51</v>
      </c>
      <c r="D37" s="10" t="n">
        <v>288.63</v>
      </c>
      <c r="E37" s="10" t="n">
        <v>22.12</v>
      </c>
      <c r="F37" s="11" t="n">
        <v>0.08299876177254138</v>
      </c>
      <c r="G37" s="12" t="inlineStr">
        <is>
          <t>Presente nos dois lados</t>
        </is>
      </c>
      <c r="H37" s="13" t="inlineStr">
        <is>
          <t>Melhorou</t>
        </is>
      </c>
      <c r="I37" s="7" t="inlineStr">
        <is>
          <t>—</t>
        </is>
      </c>
    </row>
    <row r="38">
      <c r="A38" t="inlineStr">
        <is>
          <t>Loja Norte</t>
        </is>
      </c>
      <c r="B38" t="inlineStr">
        <is>
          <t>Tênis Casual</t>
        </is>
      </c>
      <c r="C38" s="10" t="n">
        <v>832.96</v>
      </c>
      <c r="D38" s="10" t="n">
        <v>1003.74</v>
      </c>
      <c r="E38" s="10" t="n">
        <v>170.78</v>
      </c>
      <c r="F38" s="11" t="n">
        <v>0.2050278524779101</v>
      </c>
      <c r="G38" s="12" t="inlineStr">
        <is>
          <t>Presente nos dois lados</t>
        </is>
      </c>
      <c r="H38" s="13" t="inlineStr">
        <is>
          <t>Melhorou</t>
        </is>
      </c>
      <c r="I38" s="7" t="inlineStr">
        <is>
          <t>—</t>
        </is>
      </c>
    </row>
    <row r="39">
      <c r="A39" t="inlineStr">
        <is>
          <t>Loja Norte</t>
        </is>
      </c>
      <c r="B39" t="inlineStr">
        <is>
          <t>Vestido Floral</t>
        </is>
      </c>
      <c r="C39" s="10" t="n">
        <v>58.57</v>
      </c>
      <c r="D39" s="10" t="n">
        <v>125.64</v>
      </c>
      <c r="E39" s="10" t="n">
        <v>67.06999999999999</v>
      </c>
      <c r="F39" s="11" t="n">
        <v>1.145125490865631</v>
      </c>
      <c r="G39" s="12" t="inlineStr">
        <is>
          <t>Presente nos dois lados</t>
        </is>
      </c>
      <c r="H39" s="13" t="inlineStr">
        <is>
          <t>Melhorou</t>
        </is>
      </c>
      <c r="I39" s="7" t="inlineStr">
        <is>
          <t>—</t>
        </is>
      </c>
    </row>
    <row r="40">
      <c r="A40" t="inlineStr">
        <is>
          <t>Loja Oeste</t>
        </is>
      </c>
      <c r="B40" t="inlineStr">
        <is>
          <t>Bermuda Surf</t>
        </is>
      </c>
      <c r="C40" s="10" t="n">
        <v>91.72</v>
      </c>
      <c r="D40" s="10" t="n">
        <v>123.06</v>
      </c>
      <c r="E40" s="10" t="n">
        <v>31.34</v>
      </c>
      <c r="F40" s="11" t="n">
        <v>0.3416921064108155</v>
      </c>
      <c r="G40" s="12" t="inlineStr">
        <is>
          <t>Presente nos dois lados</t>
        </is>
      </c>
      <c r="H40" s="13" t="inlineStr">
        <is>
          <t>Melhorou</t>
        </is>
      </c>
      <c r="I40" s="7" t="inlineStr">
        <is>
          <t>—</t>
        </is>
      </c>
    </row>
    <row r="41">
      <c r="A41" t="inlineStr">
        <is>
          <t>Loja Oeste</t>
        </is>
      </c>
      <c r="B41" t="inlineStr">
        <is>
          <t>Boné Aba Reta</t>
        </is>
      </c>
      <c r="C41" s="10" t="n">
        <v>740.35</v>
      </c>
      <c r="D41" s="10" t="inlineStr">
        <is>
          <t>—</t>
        </is>
      </c>
      <c r="E41" s="10" t="inlineStr">
        <is>
          <t>—</t>
        </is>
      </c>
      <c r="F41" s="11" t="inlineStr">
        <is>
          <t>—</t>
        </is>
      </c>
      <c r="G41" s="14" t="inlineStr">
        <is>
          <t>Saiu da Origem</t>
        </is>
      </c>
      <c r="H41" s="12" t="inlineStr">
        <is>
          <t>Não aplicável</t>
        </is>
      </c>
      <c r="I41" s="7" t="inlineStr">
        <is>
          <t>Saiu da Origem</t>
        </is>
      </c>
    </row>
    <row r="42">
      <c r="A42" t="inlineStr">
        <is>
          <t>Loja Oeste</t>
        </is>
      </c>
      <c r="B42" t="inlineStr">
        <is>
          <t>Calça Jeans</t>
        </is>
      </c>
      <c r="C42" s="10" t="n">
        <v>124.88</v>
      </c>
      <c r="D42" s="10" t="n">
        <v>151.82</v>
      </c>
      <c r="E42" s="10" t="n">
        <v>26.94</v>
      </c>
      <c r="F42" s="11" t="n">
        <v>0.2157270980140935</v>
      </c>
      <c r="G42" s="12" t="inlineStr">
        <is>
          <t>Presente nos dois lados</t>
        </is>
      </c>
      <c r="H42" s="13" t="inlineStr">
        <is>
          <t>Melhorou</t>
        </is>
      </c>
      <c r="I42" s="7" t="inlineStr">
        <is>
          <t>—</t>
        </is>
      </c>
    </row>
    <row r="43">
      <c r="A43" t="inlineStr">
        <is>
          <t>Loja Oeste</t>
        </is>
      </c>
      <c r="B43" t="inlineStr">
        <is>
          <t>Camiseta Básica</t>
        </is>
      </c>
      <c r="C43" s="10" t="n">
        <v>650.16</v>
      </c>
      <c r="D43" s="10" t="n">
        <v>493.74</v>
      </c>
      <c r="E43" s="10" t="n">
        <v>-156.42</v>
      </c>
      <c r="F43" s="11" t="n">
        <v>-0.2405869324473975</v>
      </c>
      <c r="G43" s="12" t="inlineStr">
        <is>
          <t>Presente nos dois lados</t>
        </is>
      </c>
      <c r="H43" s="15" t="inlineStr">
        <is>
          <t>Piorou</t>
        </is>
      </c>
      <c r="I43" s="7" t="inlineStr">
        <is>
          <t>—</t>
        </is>
      </c>
    </row>
    <row r="44">
      <c r="A44" t="inlineStr">
        <is>
          <t>Loja Oeste</t>
        </is>
      </c>
      <c r="B44" t="inlineStr">
        <is>
          <t>Cinto Preto</t>
        </is>
      </c>
      <c r="C44" s="10" t="n">
        <v>980.08</v>
      </c>
      <c r="D44" s="10" t="inlineStr">
        <is>
          <t>—</t>
        </is>
      </c>
      <c r="E44" s="10" t="inlineStr">
        <is>
          <t>—</t>
        </is>
      </c>
      <c r="F44" s="11" t="inlineStr">
        <is>
          <t>—</t>
        </is>
      </c>
      <c r="G44" s="14" t="inlineStr">
        <is>
          <t>Saiu da Origem</t>
        </is>
      </c>
      <c r="H44" s="12" t="inlineStr">
        <is>
          <t>Não aplicável</t>
        </is>
      </c>
      <c r="I44" s="7" t="inlineStr">
        <is>
          <t>Saiu da Origem</t>
        </is>
      </c>
    </row>
    <row r="45">
      <c r="A45" t="inlineStr">
        <is>
          <t>Loja Oeste</t>
        </is>
      </c>
      <c r="B45" t="inlineStr">
        <is>
          <t>Jaqueta Couro</t>
        </is>
      </c>
      <c r="C45" s="10" t="n">
        <v>1102.96</v>
      </c>
      <c r="D45" s="10" t="n">
        <v>1113.65</v>
      </c>
      <c r="E45" s="10" t="n">
        <v>10.69000000000005</v>
      </c>
      <c r="F45" s="11" t="n">
        <v>0.0096921012548053</v>
      </c>
      <c r="G45" s="12" t="inlineStr">
        <is>
          <t>Presente nos dois lados</t>
        </is>
      </c>
      <c r="H45" s="12" t="inlineStr">
        <is>
          <t>Estável</t>
        </is>
      </c>
      <c r="I45" s="7" t="inlineStr">
        <is>
          <t>—</t>
        </is>
      </c>
    </row>
    <row r="46">
      <c r="A46" t="inlineStr">
        <is>
          <t>Loja Oeste</t>
        </is>
      </c>
      <c r="B46" t="inlineStr">
        <is>
          <t>Meia Kit 3</t>
        </is>
      </c>
      <c r="C46" s="10" t="n">
        <v>139.09</v>
      </c>
      <c r="D46" s="10" t="inlineStr">
        <is>
          <t>—</t>
        </is>
      </c>
      <c r="E46" s="10" t="inlineStr">
        <is>
          <t>—</t>
        </is>
      </c>
      <c r="F46" s="11" t="inlineStr">
        <is>
          <t>—</t>
        </is>
      </c>
      <c r="G46" s="14" t="inlineStr">
        <is>
          <t>Saiu da Origem</t>
        </is>
      </c>
      <c r="H46" s="12" t="inlineStr">
        <is>
          <t>Não aplicável</t>
        </is>
      </c>
      <c r="I46" s="7" t="inlineStr">
        <is>
          <t>Saiu da Origem</t>
        </is>
      </c>
    </row>
    <row r="47">
      <c r="A47" t="inlineStr">
        <is>
          <t>Loja Oeste</t>
        </is>
      </c>
      <c r="B47" t="inlineStr">
        <is>
          <t>Polo Lisa</t>
        </is>
      </c>
      <c r="C47" s="10" t="n">
        <v>382.83</v>
      </c>
      <c r="D47" s="10" t="n">
        <v>442.41</v>
      </c>
      <c r="E47" s="10" t="n">
        <v>59.58000000000004</v>
      </c>
      <c r="F47" s="11" t="n">
        <v>0.1556304364861689</v>
      </c>
      <c r="G47" s="12" t="inlineStr">
        <is>
          <t>Presente nos dois lados</t>
        </is>
      </c>
      <c r="H47" s="13" t="inlineStr">
        <is>
          <t>Melhorou</t>
        </is>
      </c>
      <c r="I47" s="7" t="inlineStr">
        <is>
          <t>—</t>
        </is>
      </c>
    </row>
    <row r="48">
      <c r="A48" t="inlineStr">
        <is>
          <t>Loja Oeste</t>
        </is>
      </c>
      <c r="B48" t="inlineStr">
        <is>
          <t>Sandália Tiras</t>
        </is>
      </c>
      <c r="C48" s="10" t="n">
        <v>661.54</v>
      </c>
      <c r="D48" s="10" t="n">
        <v>325.84</v>
      </c>
      <c r="E48" s="10" t="n">
        <v>-335.7</v>
      </c>
      <c r="F48" s="11" t="n">
        <v>-0.507452308250446</v>
      </c>
      <c r="G48" s="12" t="inlineStr">
        <is>
          <t>Presente nos dois lados</t>
        </is>
      </c>
      <c r="H48" s="15" t="inlineStr">
        <is>
          <t>Piorou</t>
        </is>
      </c>
      <c r="I48" s="7" t="inlineStr">
        <is>
          <t>—</t>
        </is>
      </c>
    </row>
    <row r="49">
      <c r="A49" t="inlineStr">
        <is>
          <t>Loja Oeste</t>
        </is>
      </c>
      <c r="B49" t="inlineStr">
        <is>
          <t>Sapato Social</t>
        </is>
      </c>
      <c r="C49" s="10" t="n">
        <v>288.85</v>
      </c>
      <c r="D49" s="10" t="n">
        <v>252.43</v>
      </c>
      <c r="E49" s="10" t="n">
        <v>-36.42000000000002</v>
      </c>
      <c r="F49" s="11" t="n">
        <v>-0.1260862039120651</v>
      </c>
      <c r="G49" s="12" t="inlineStr">
        <is>
          <t>Presente nos dois lados</t>
        </is>
      </c>
      <c r="H49" s="15" t="inlineStr">
        <is>
          <t>Piorou</t>
        </is>
      </c>
      <c r="I49" s="7" t="inlineStr">
        <is>
          <t>—</t>
        </is>
      </c>
    </row>
    <row r="50">
      <c r="A50" t="inlineStr">
        <is>
          <t>Loja Oeste</t>
        </is>
      </c>
      <c r="B50" t="inlineStr">
        <is>
          <t>Tênis Casual</t>
        </is>
      </c>
      <c r="C50" s="10" t="n">
        <v>782.1</v>
      </c>
      <c r="D50" s="10" t="n">
        <v>982.46</v>
      </c>
      <c r="E50" s="10" t="n">
        <v>200.36</v>
      </c>
      <c r="F50" s="11" t="n">
        <v>0.2561820739035929</v>
      </c>
      <c r="G50" s="12" t="inlineStr">
        <is>
          <t>Presente nos dois lados</t>
        </is>
      </c>
      <c r="H50" s="13" t="inlineStr">
        <is>
          <t>Melhorou</t>
        </is>
      </c>
      <c r="I50" s="7" t="inlineStr">
        <is>
          <t>—</t>
        </is>
      </c>
    </row>
    <row r="51">
      <c r="A51" t="inlineStr">
        <is>
          <t>Loja Oeste</t>
        </is>
      </c>
      <c r="B51" t="inlineStr">
        <is>
          <t>Vestido Floral</t>
        </is>
      </c>
      <c r="C51" s="10" t="n">
        <v>65.44</v>
      </c>
      <c r="D51" s="10" t="n">
        <v>61.07</v>
      </c>
      <c r="E51" s="10" t="n">
        <v>-4.369999999999997</v>
      </c>
      <c r="F51" s="11" t="n">
        <v>-0.06677872860635693</v>
      </c>
      <c r="G51" s="12" t="inlineStr">
        <is>
          <t>Presente nos dois lados</t>
        </is>
      </c>
      <c r="H51" s="15" t="inlineStr">
        <is>
          <t>Piorou</t>
        </is>
      </c>
      <c r="I51" s="7" t="inlineStr">
        <is>
          <t>—</t>
        </is>
      </c>
    </row>
    <row r="52">
      <c r="A52" t="inlineStr">
        <is>
          <t>Loja Sul</t>
        </is>
      </c>
      <c r="B52" t="inlineStr">
        <is>
          <t>Bermuda Surf</t>
        </is>
      </c>
      <c r="C52" s="10" t="n">
        <v>116.92</v>
      </c>
      <c r="D52" s="10" t="n">
        <v>93.92</v>
      </c>
      <c r="E52" s="10" t="n">
        <v>-23</v>
      </c>
      <c r="F52" s="11" t="n">
        <v>-0.196715703044817</v>
      </c>
      <c r="G52" s="12" t="inlineStr">
        <is>
          <t>Presente nos dois lados</t>
        </is>
      </c>
      <c r="H52" s="15" t="inlineStr">
        <is>
          <t>Piorou</t>
        </is>
      </c>
      <c r="I52" s="7" t="inlineStr">
        <is>
          <t>—</t>
        </is>
      </c>
    </row>
    <row r="53">
      <c r="A53" t="inlineStr">
        <is>
          <t>Loja Sul</t>
        </is>
      </c>
      <c r="B53" t="inlineStr">
        <is>
          <t>Boné Aba Reta</t>
        </is>
      </c>
      <c r="C53" s="10" t="n">
        <v>938.63</v>
      </c>
      <c r="D53" s="10" t="inlineStr">
        <is>
          <t>—</t>
        </is>
      </c>
      <c r="E53" s="10" t="inlineStr">
        <is>
          <t>—</t>
        </is>
      </c>
      <c r="F53" s="11" t="inlineStr">
        <is>
          <t>—</t>
        </is>
      </c>
      <c r="G53" s="14" t="inlineStr">
        <is>
          <t>Saiu da Origem</t>
        </is>
      </c>
      <c r="H53" s="12" t="inlineStr">
        <is>
          <t>Não aplicável</t>
        </is>
      </c>
      <c r="I53" s="7" t="inlineStr">
        <is>
          <t>Saiu da Origem</t>
        </is>
      </c>
    </row>
    <row r="54">
      <c r="A54" t="inlineStr">
        <is>
          <t>Loja Sul</t>
        </is>
      </c>
      <c r="B54" t="inlineStr">
        <is>
          <t>Calça Jeans</t>
        </is>
      </c>
      <c r="C54" s="10" t="n">
        <v>156.56</v>
      </c>
      <c r="D54" s="10" t="n">
        <v>164.89</v>
      </c>
      <c r="E54" s="10" t="n">
        <v>8.329999999999984</v>
      </c>
      <c r="F54" s="11" t="n">
        <v>0.05320643842616239</v>
      </c>
      <c r="G54" s="12" t="inlineStr">
        <is>
          <t>Presente nos dois lados</t>
        </is>
      </c>
      <c r="H54" s="13" t="inlineStr">
        <is>
          <t>Melhorou</t>
        </is>
      </c>
      <c r="I54" s="7" t="inlineStr">
        <is>
          <t>—</t>
        </is>
      </c>
    </row>
    <row r="55">
      <c r="A55" t="inlineStr">
        <is>
          <t>Loja Sul</t>
        </is>
      </c>
      <c r="B55" t="inlineStr">
        <is>
          <t>Camiseta Básica</t>
        </is>
      </c>
      <c r="C55" s="10" t="n">
        <v>451.68</v>
      </c>
      <c r="D55" s="10" t="n">
        <v>614.61</v>
      </c>
      <c r="E55" s="10" t="n">
        <v>162.93</v>
      </c>
      <c r="F55" s="11" t="n">
        <v>0.3607199787460149</v>
      </c>
      <c r="G55" s="12" t="inlineStr">
        <is>
          <t>Presente nos dois lados</t>
        </is>
      </c>
      <c r="H55" s="13" t="inlineStr">
        <is>
          <t>Melhorou</t>
        </is>
      </c>
      <c r="I55" s="7" t="inlineStr">
        <is>
          <t>—</t>
        </is>
      </c>
    </row>
    <row r="56">
      <c r="A56" t="inlineStr">
        <is>
          <t>Loja Sul</t>
        </is>
      </c>
      <c r="B56" t="inlineStr">
        <is>
          <t>Cinto Preto</t>
        </is>
      </c>
      <c r="C56" s="10" t="n">
        <v>1142.28</v>
      </c>
      <c r="D56" s="10" t="inlineStr">
        <is>
          <t>—</t>
        </is>
      </c>
      <c r="E56" s="10" t="inlineStr">
        <is>
          <t>—</t>
        </is>
      </c>
      <c r="F56" s="11" t="inlineStr">
        <is>
          <t>—</t>
        </is>
      </c>
      <c r="G56" s="14" t="inlineStr">
        <is>
          <t>Saiu da Origem</t>
        </is>
      </c>
      <c r="H56" s="12" t="inlineStr">
        <is>
          <t>Não aplicável</t>
        </is>
      </c>
      <c r="I56" s="7" t="inlineStr">
        <is>
          <t>Saiu da Origem</t>
        </is>
      </c>
    </row>
    <row r="57">
      <c r="A57" t="inlineStr">
        <is>
          <t>Loja Sul</t>
        </is>
      </c>
      <c r="B57" t="inlineStr">
        <is>
          <t>Jaqueta Couro</t>
        </is>
      </c>
      <c r="C57" s="10" t="n">
        <v>1149.39</v>
      </c>
      <c r="D57" s="10" t="n">
        <v>1843.22</v>
      </c>
      <c r="E57" s="10" t="n">
        <v>693.8299999999999</v>
      </c>
      <c r="F57" s="11" t="n">
        <v>0.6036506320744046</v>
      </c>
      <c r="G57" s="12" t="inlineStr">
        <is>
          <t>Presente nos dois lados</t>
        </is>
      </c>
      <c r="H57" s="13" t="inlineStr">
        <is>
          <t>Melhorou</t>
        </is>
      </c>
      <c r="I57" s="7" t="inlineStr">
        <is>
          <t>—</t>
        </is>
      </c>
    </row>
    <row r="58">
      <c r="A58" t="inlineStr">
        <is>
          <t>Loja Sul</t>
        </is>
      </c>
      <c r="B58" t="inlineStr">
        <is>
          <t>Meia Kit 3</t>
        </is>
      </c>
      <c r="C58" s="10" t="n">
        <v>149.26</v>
      </c>
      <c r="D58" s="10" t="inlineStr">
        <is>
          <t>—</t>
        </is>
      </c>
      <c r="E58" s="10" t="inlineStr">
        <is>
          <t>—</t>
        </is>
      </c>
      <c r="F58" s="11" t="inlineStr">
        <is>
          <t>—</t>
        </is>
      </c>
      <c r="G58" s="14" t="inlineStr">
        <is>
          <t>Saiu da Origem</t>
        </is>
      </c>
      <c r="H58" s="12" t="inlineStr">
        <is>
          <t>Não aplicável</t>
        </is>
      </c>
      <c r="I58" s="7" t="inlineStr">
        <is>
          <t>Saiu da Origem</t>
        </is>
      </c>
    </row>
    <row r="59">
      <c r="A59" t="inlineStr">
        <is>
          <t>Loja Sul</t>
        </is>
      </c>
      <c r="B59" t="inlineStr">
        <is>
          <t>Polo Lisa</t>
        </is>
      </c>
      <c r="C59" s="10" t="n">
        <v>448.57</v>
      </c>
      <c r="D59" s="10" t="n">
        <v>409.42</v>
      </c>
      <c r="E59" s="10" t="n">
        <v>-39.14999999999998</v>
      </c>
      <c r="F59" s="11" t="n">
        <v>-0.08727734801703185</v>
      </c>
      <c r="G59" s="12" t="inlineStr">
        <is>
          <t>Presente nos dois lados</t>
        </is>
      </c>
      <c r="H59" s="15" t="inlineStr">
        <is>
          <t>Piorou</t>
        </is>
      </c>
      <c r="I59" s="7" t="inlineStr">
        <is>
          <t>—</t>
        </is>
      </c>
    </row>
    <row r="60">
      <c r="A60" t="inlineStr">
        <is>
          <t>Loja Sul</t>
        </is>
      </c>
      <c r="B60" t="inlineStr">
        <is>
          <t>Sandália Tiras</t>
        </is>
      </c>
      <c r="C60" s="10" t="n">
        <v>431.53</v>
      </c>
      <c r="D60" s="10" t="n">
        <v>341.74</v>
      </c>
      <c r="E60" s="10" t="n">
        <v>-89.78999999999996</v>
      </c>
      <c r="F60" s="11" t="n">
        <v>-0.2080735985910596</v>
      </c>
      <c r="G60" s="12" t="inlineStr">
        <is>
          <t>Presente nos dois lados</t>
        </is>
      </c>
      <c r="H60" s="15" t="inlineStr">
        <is>
          <t>Piorou</t>
        </is>
      </c>
      <c r="I60" s="7" t="inlineStr">
        <is>
          <t>—</t>
        </is>
      </c>
    </row>
    <row r="61">
      <c r="A61" t="inlineStr">
        <is>
          <t>Loja Sul</t>
        </is>
      </c>
      <c r="B61" t="inlineStr">
        <is>
          <t>Sapato Social</t>
        </is>
      </c>
      <c r="C61" s="10" t="n">
        <v>319.56</v>
      </c>
      <c r="D61" s="10" t="n">
        <v>322.99</v>
      </c>
      <c r="E61" s="10" t="n">
        <v>3.430000000000007</v>
      </c>
      <c r="F61" s="11" t="n">
        <v>0.01073350857428967</v>
      </c>
      <c r="G61" s="12" t="inlineStr">
        <is>
          <t>Presente nos dois lados</t>
        </is>
      </c>
      <c r="H61" s="13" t="inlineStr">
        <is>
          <t>Melhorou</t>
        </is>
      </c>
      <c r="I61" s="7" t="inlineStr">
        <is>
          <t>—</t>
        </is>
      </c>
    </row>
    <row r="62">
      <c r="A62" t="inlineStr">
        <is>
          <t>Loja Sul</t>
        </is>
      </c>
      <c r="B62" t="inlineStr">
        <is>
          <t>Tênis Casual</t>
        </is>
      </c>
      <c r="C62" s="10" t="n">
        <v>922.89</v>
      </c>
      <c r="D62" s="10" t="n">
        <v>725.51</v>
      </c>
      <c r="E62" s="10" t="n">
        <v>-197.38</v>
      </c>
      <c r="F62" s="11" t="n">
        <v>-0.2138716423409074</v>
      </c>
      <c r="G62" s="12" t="inlineStr">
        <is>
          <t>Presente nos dois lados</t>
        </is>
      </c>
      <c r="H62" s="15" t="inlineStr">
        <is>
          <t>Piorou</t>
        </is>
      </c>
      <c r="I62" s="7" t="inlineStr">
        <is>
          <t>—</t>
        </is>
      </c>
    </row>
    <row r="63">
      <c r="A63" t="inlineStr">
        <is>
          <t>Loja Sul</t>
        </is>
      </c>
      <c r="B63" t="inlineStr">
        <is>
          <t>Vestido Floral</t>
        </is>
      </c>
      <c r="C63" s="10" t="n">
        <v>52.84</v>
      </c>
      <c r="D63" s="10" t="n">
        <v>48.71</v>
      </c>
      <c r="E63" s="10" t="n">
        <v>-4.130000000000003</v>
      </c>
      <c r="F63" s="11" t="n">
        <v>-0.07816048448145349</v>
      </c>
      <c r="G63" s="12" t="inlineStr">
        <is>
          <t>Presente nos dois lados</t>
        </is>
      </c>
      <c r="H63" s="15" t="inlineStr">
        <is>
          <t>Piorou</t>
        </is>
      </c>
      <c r="I63" s="7" t="inlineStr">
        <is>
          <t>—</t>
        </is>
      </c>
    </row>
    <row r="64">
      <c r="C64">
        <f>SUBTOTAL(109,C4:C63)</f>
        <v/>
      </c>
      <c r="D64">
        <f>SUBTOTAL(109,D4:D63)</f>
        <v/>
      </c>
      <c r="E64">
        <f>SUBTOTAL(109,E4:E63)</f>
        <v/>
      </c>
      <c r="F64">
        <f>SUBTOTAL(101,F4:F63)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24" customWidth="1" min="3" max="3"/>
    <col width="24" customWidth="1" min="4" max="4"/>
  </cols>
  <sheetData>
    <row r="1" ht="28" customHeight="1">
      <c r="A1" s="1" t="inlineStr">
        <is>
          <t>Diagnóstico</t>
        </is>
      </c>
    </row>
    <row r="3">
      <c r="A3" s="3" t="inlineStr">
        <is>
          <t>Como a análise foi feita</t>
        </is>
      </c>
    </row>
    <row r="5">
      <c r="A5" s="6" t="inlineStr">
        <is>
          <t>Arquivo</t>
        </is>
      </c>
      <c r="B5" s="7" t="inlineStr">
        <is>
          <t>base_v2_cliente.xlsx</t>
        </is>
      </c>
    </row>
    <row r="6">
      <c r="A6" s="6" t="inlineStr">
        <is>
          <t>Aba consumida</t>
        </is>
      </c>
      <c r="B6" s="7" t="inlineStr">
        <is>
          <t>vendas_padrao</t>
        </is>
      </c>
    </row>
    <row r="7">
      <c r="A7" s="6" t="inlineStr">
        <is>
          <t>Modo da base</t>
        </is>
      </c>
      <c r="B7" s="7" t="inlineStr">
        <is>
          <t>Dois lados empilhados em coluna identificadora</t>
        </is>
      </c>
    </row>
    <row r="8">
      <c r="A8" s="6" t="inlineStr">
        <is>
          <t>Agrupadores aplicados</t>
        </is>
      </c>
      <c r="B8" s="7" t="inlineStr">
        <is>
          <t>Loja · Produto</t>
        </is>
      </c>
    </row>
    <row r="9">
      <c r="A9" s="6" t="inlineStr">
        <is>
          <t>Campo analisado</t>
        </is>
      </c>
      <c r="B9" s="7" t="inlineStr">
        <is>
          <t>Vendas</t>
        </is>
      </c>
    </row>
    <row r="10">
      <c r="A10" s="6" t="inlineStr">
        <is>
          <t>Tipo de medida</t>
        </is>
      </c>
      <c r="B10" s="7" t="inlineStr">
        <is>
          <t>Valor somável</t>
        </is>
      </c>
    </row>
    <row r="11">
      <c r="A11" s="6" t="inlineStr">
        <is>
          <t>Coluna origem</t>
        </is>
      </c>
      <c r="B11" s="7" t="inlineStr">
        <is>
          <t>Janeiro 2025</t>
        </is>
      </c>
    </row>
    <row r="12">
      <c r="A12" s="6" t="inlineStr">
        <is>
          <t>Coluna comparado</t>
        </is>
      </c>
      <c r="B12" s="7" t="inlineStr">
        <is>
          <t>Fevereiro 2025</t>
        </is>
      </c>
    </row>
    <row r="14">
      <c r="A14" s="3" t="inlineStr">
        <is>
          <t>Ajustes automáticos do motor</t>
        </is>
      </c>
    </row>
    <row r="16">
      <c r="A16" s="7" t="inlineStr">
        <is>
          <t>Nenhum ajuste estrutural foi necessário.</t>
        </is>
      </c>
    </row>
    <row r="18">
      <c r="A18" s="3" t="inlineStr">
        <is>
          <t>Pontos de atenção</t>
        </is>
      </c>
    </row>
    <row r="20">
      <c r="A20" s="6" t="inlineStr">
        <is>
          <t>Alerta estrutural</t>
        </is>
      </c>
      <c r="B20" s="7" t="inlineStr">
        <is>
          <t>15 combinação(ões) ausente(s) em um dos lados da comparação.</t>
        </is>
      </c>
    </row>
    <row r="21">
      <c r="A21" s="6" t="inlineStr">
        <is>
          <t>Alerta estrutural</t>
        </is>
      </c>
      <c r="B21" s="7" t="inlineStr">
        <is>
          <t>4 linha(s) com nulo(s) na medida 'Vendas'.</t>
        </is>
      </c>
    </row>
    <row r="23">
      <c r="A23" s="3" t="inlineStr">
        <is>
          <t>Decisões do usuário</t>
        </is>
      </c>
    </row>
    <row r="25">
      <c r="A25" s="7" t="inlineStr">
        <is>
          <t>Análise executada com configurações padrão.</t>
        </is>
      </c>
    </row>
    <row r="27">
      <c r="A27" s="3" t="inlineStr">
        <is>
          <t>Configurações avançadas aplicadas</t>
        </is>
      </c>
    </row>
    <row r="29">
      <c r="A29" s="6" t="inlineStr">
        <is>
          <t>Paleta selecionada</t>
        </is>
      </c>
      <c r="B29" s="7" t="inlineStr">
        <is>
          <t>Azul executivo</t>
        </is>
      </c>
    </row>
    <row r="30">
      <c r="A30" s="6" t="inlineStr">
        <is>
          <t>Limite de estabilidade</t>
        </is>
      </c>
      <c r="B30" s="7" t="inlineStr">
        <is>
          <t>1,00%</t>
        </is>
      </c>
    </row>
    <row r="31">
      <c r="A31" s="6" t="inlineStr">
        <is>
          <t>Limite de nulos massivos</t>
        </is>
      </c>
      <c r="B31" s="7" t="inlineStr">
        <is>
          <t>20,00%</t>
        </is>
      </c>
    </row>
    <row r="32">
      <c r="A32" s="6" t="inlineStr">
        <is>
          <t>Limite de valores na coluna de comparação</t>
        </is>
      </c>
      <c r="B32" s="7" t="inlineStr">
        <is>
          <t>50</t>
        </is>
      </c>
    </row>
    <row r="33">
      <c r="A33" s="6" t="inlineStr">
        <is>
          <t>Limite de variação extrema</t>
        </is>
      </c>
      <c r="B33" s="7" t="inlineStr">
        <is>
          <t>10,00%</t>
        </is>
      </c>
    </row>
    <row r="35">
      <c r="A35" s="3" t="inlineStr">
        <is>
          <t>Qualidade estrutural da análise</t>
        </is>
      </c>
    </row>
    <row r="37">
      <c r="A37" s="6" t="inlineStr">
        <is>
          <t>Total de avisos</t>
        </is>
      </c>
      <c r="B37" s="7" t="inlineStr">
        <is>
          <t>2</t>
        </is>
      </c>
    </row>
    <row r="38">
      <c r="A38" s="6" t="inlineStr">
        <is>
          <t>Avisos · Alerta estrutural</t>
        </is>
      </c>
      <c r="B38" s="7" t="inlineStr">
        <is>
          <t>2</t>
        </is>
      </c>
    </row>
    <row r="39">
      <c r="A39" s="6" t="inlineStr">
        <is>
          <t>Bloqueios escapados</t>
        </is>
      </c>
      <c r="B39" s="7" t="inlineStr">
        <is>
          <t>Não</t>
        </is>
      </c>
    </row>
  </sheetData>
  <mergeCells count="3">
    <mergeCell ref="A1:D1"/>
    <mergeCell ref="A25:D25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2026-04-24T19:30:51Z</dcterms:created>
  <dcterms:modified xsi:type="dcterms:W3CDTF">2026-04-24T19:30:51Z</dcterms:modified>
</cp:coreProperties>
</file>