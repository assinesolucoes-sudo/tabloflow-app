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+0.00&quot; p.p&quot;;[Red]-0.00&quot; p.p&quot;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166" fontId="7" fillId="3" borderId="1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+0&quot; p.p&quot;;[Red]-0&quot; p.p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Variação absoluta (p.p)" totalsRowFunction="sum"/>
    <tableColumn id="6" name="Variação relativa (%)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24" customWidth="1" min="3" max="3"/>
    <col width="24" customWidth="1" min="4" max="4"/>
    <col width="25" customWidth="1" min="5" max="5"/>
    <col width="23" customWidth="1" min="6" max="6"/>
    <col width="23" customWidth="1" min="7" max="7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12:43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Média · Janeiro 2025</t>
        </is>
      </c>
      <c r="B5" s="4" t="n"/>
      <c r="C5" s="5" t="inlineStr">
        <is>
          <t>Média · Fevereiro 2025</t>
        </is>
      </c>
      <c r="D5" s="4" t="n"/>
      <c r="E5" s="5" t="inlineStr">
        <is>
          <t>Variação absoluta (p.p)</t>
        </is>
      </c>
      <c r="F5" s="4" t="n"/>
      <c r="G5" s="5" t="inlineStr">
        <is>
          <t>Variação relativa (%)</t>
        </is>
      </c>
      <c r="H5" s="4" t="n"/>
    </row>
    <row r="6" ht="32" customHeight="1">
      <c r="A6" s="6" t="inlineStr">
        <is>
          <t>28,99%</t>
        </is>
      </c>
      <c r="B6" s="4" t="n"/>
      <c r="C6" s="6" t="inlineStr">
        <is>
          <t>27,15%</t>
        </is>
      </c>
      <c r="D6" s="4" t="n"/>
      <c r="E6" s="6" t="inlineStr">
        <is>
          <t>-1,84 p.p</t>
        </is>
      </c>
      <c r="F6" s="4" t="n"/>
      <c r="G6" s="6" t="inlineStr">
        <is>
          <t>-6,36%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8" t="n"/>
      <c r="F9" s="9" t="inlineStr">
        <is>
          <t>Casos</t>
        </is>
      </c>
      <c r="G9" s="8" t="inlineStr">
        <is>
          <t>Participação</t>
        </is>
      </c>
      <c r="H9" s="8" t="n"/>
    </row>
    <row r="10">
      <c r="A10" s="10" t="inlineStr">
        <is>
          <t>Melhorou</t>
        </is>
      </c>
      <c r="B10" s="11" t="n"/>
      <c r="C10" s="11" t="n"/>
      <c r="D10" s="11" t="n"/>
      <c r="E10" s="11" t="n"/>
      <c r="F10" s="12" t="n">
        <v>9</v>
      </c>
      <c r="G10" s="13" t="n">
        <v>0.4736842105263158</v>
      </c>
      <c r="H10" s="11" t="n"/>
    </row>
    <row r="11">
      <c r="A11" s="14" t="inlineStr">
        <is>
          <t>Piorou</t>
        </is>
      </c>
      <c r="B11" s="15" t="n"/>
      <c r="C11" s="15" t="n"/>
      <c r="D11" s="15" t="n"/>
      <c r="E11" s="15" t="n"/>
      <c r="F11" s="16" t="n">
        <v>10</v>
      </c>
      <c r="G11" s="17" t="n">
        <v>0.5263157894736842</v>
      </c>
      <c r="H11" s="15" t="n"/>
    </row>
    <row r="12">
      <c r="A12" s="18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19" t="inlineStr">
        <is>
          <t>As 5 maiores variações (de 20 casos) explicam 48,34%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0" t="inlineStr">
        <is>
          <t>As 10 maiores explicam 79,31% do impacto.</t>
        </is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9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Δ médio</t>
        </is>
      </c>
      <c r="E20" s="8" t="n"/>
      <c r="F20" s="8" t="inlineStr">
        <is>
          <t>Variação relativa (%)</t>
        </is>
      </c>
      <c r="G20" s="8" t="n"/>
      <c r="H20" s="9" t="inlineStr">
        <is>
          <t>Direção</t>
        </is>
      </c>
    </row>
    <row r="21">
      <c r="A21" s="10" t="inlineStr">
        <is>
          <t>MG</t>
        </is>
      </c>
      <c r="B21" s="11" t="n"/>
      <c r="C21" s="11" t="n"/>
      <c r="D21" s="21" t="n">
        <v>-4.3525</v>
      </c>
      <c r="E21" s="11" t="n"/>
      <c r="F21" s="13" t="n">
        <v>-0.215657128700607</v>
      </c>
      <c r="G21" s="11" t="n"/>
      <c r="H21" s="22" t="inlineStr">
        <is>
          <t>↓ Puxa para baixo</t>
        </is>
      </c>
    </row>
    <row r="22">
      <c r="A22" s="14" t="inlineStr">
        <is>
          <t>SP</t>
        </is>
      </c>
      <c r="B22" s="15" t="n"/>
      <c r="C22" s="15" t="n"/>
      <c r="D22" s="23" t="n">
        <v>-3.442499999999999</v>
      </c>
      <c r="E22" s="15" t="n"/>
      <c r="F22" s="17" t="n">
        <v>-0.1091990483743061</v>
      </c>
      <c r="G22" s="15" t="n"/>
      <c r="H22" s="24" t="inlineStr">
        <is>
          <t>↓ Puxa para baixo</t>
        </is>
      </c>
    </row>
    <row r="23">
      <c r="A23" s="10" t="inlineStr">
        <is>
          <t>PR</t>
        </is>
      </c>
      <c r="B23" s="11" t="n"/>
      <c r="C23" s="11" t="n"/>
      <c r="D23" s="21" t="n">
        <v>3.355000000000001</v>
      </c>
      <c r="E23" s="11" t="n"/>
      <c r="F23" s="13" t="n">
        <v>0.1045008565643981</v>
      </c>
      <c r="G23" s="11" t="n"/>
      <c r="H23" s="22" t="inlineStr">
        <is>
          <t>↑ Puxa para cima</t>
        </is>
      </c>
    </row>
    <row r="24">
      <c r="A24" s="18" t="inlineStr">
        <is>
          <t>(outras 2 categoria(s) têm Δ médio -2,39 p.p ·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Variação absoluta (p.p)</t>
        </is>
      </c>
      <c r="F27" s="8" t="inlineStr">
        <is>
          <t>Variação relativa (%)</t>
        </is>
      </c>
    </row>
    <row r="28">
      <c r="A28" s="10" t="inlineStr">
        <is>
          <t>MG</t>
        </is>
      </c>
      <c r="B28" s="10" t="inlineStr">
        <is>
          <t>Produto A</t>
        </is>
      </c>
      <c r="C28" s="13" t="n">
        <v>0.2361</v>
      </c>
      <c r="D28" s="13" t="n">
        <v>0.1346</v>
      </c>
      <c r="E28" s="21" t="n">
        <v>-10.15</v>
      </c>
      <c r="F28" s="13" t="n">
        <v>-0.4299025836509954</v>
      </c>
    </row>
    <row r="29">
      <c r="A29" s="14" t="inlineStr">
        <is>
          <t>RJ</t>
        </is>
      </c>
      <c r="B29" s="14" t="inlineStr">
        <is>
          <t>Produto B</t>
        </is>
      </c>
      <c r="C29" s="17" t="n">
        <v>0.3795</v>
      </c>
      <c r="D29" s="17" t="n">
        <v>0.2833</v>
      </c>
      <c r="E29" s="23" t="n">
        <v>-9.620000000000001</v>
      </c>
      <c r="F29" s="17" t="n">
        <v>-0.2534914361001318</v>
      </c>
    </row>
    <row r="30">
      <c r="A30" s="10" t="inlineStr">
        <is>
          <t>PR</t>
        </is>
      </c>
      <c r="B30" s="10" t="inlineStr">
        <is>
          <t>Produto A</t>
        </is>
      </c>
      <c r="C30" s="13" t="n">
        <v>0.2784</v>
      </c>
      <c r="D30" s="13" t="n">
        <v>0.3705</v>
      </c>
      <c r="E30" s="21" t="n">
        <v>9.210000000000001</v>
      </c>
      <c r="F30" s="13" t="n">
        <v>0.3308189655172414</v>
      </c>
    </row>
    <row r="31">
      <c r="A31" s="14" t="inlineStr">
        <is>
          <t>BA</t>
        </is>
      </c>
      <c r="B31" s="14" t="inlineStr">
        <is>
          <t>Produto B</t>
        </is>
      </c>
      <c r="C31" s="17" t="n">
        <v>0.1143</v>
      </c>
      <c r="D31" s="17" t="n">
        <v>0.0226</v>
      </c>
      <c r="E31" s="23" t="n">
        <v>-9.17</v>
      </c>
      <c r="F31" s="17" t="n">
        <v>-0.8022747156605424</v>
      </c>
    </row>
    <row r="32">
      <c r="A32" s="10" t="inlineStr">
        <is>
          <t>SP</t>
        </is>
      </c>
      <c r="B32" s="10" t="inlineStr">
        <is>
          <t>Produto A</t>
        </is>
      </c>
      <c r="C32" s="13" t="n">
        <v>0.3166</v>
      </c>
      <c r="D32" s="13" t="n">
        <v>0.2366</v>
      </c>
      <c r="E32" s="21" t="n">
        <v>-7.999999999999999</v>
      </c>
      <c r="F32" s="13" t="n">
        <v>-0.2526847757422615</v>
      </c>
    </row>
    <row r="33">
      <c r="A33" s="14" t="inlineStr">
        <is>
          <t>MG</t>
        </is>
      </c>
      <c r="B33" s="14" t="inlineStr">
        <is>
          <t>Produto C</t>
        </is>
      </c>
      <c r="C33" s="17" t="n">
        <v>0.0898</v>
      </c>
      <c r="D33" s="17" t="n">
        <v>0.0221</v>
      </c>
      <c r="E33" s="23" t="n">
        <v>-6.770000000000001</v>
      </c>
      <c r="F33" s="17" t="n">
        <v>-0.7538975501113586</v>
      </c>
    </row>
    <row r="34">
      <c r="A34" s="10" t="inlineStr">
        <is>
          <t>SP</t>
        </is>
      </c>
      <c r="B34" s="10" t="inlineStr">
        <is>
          <t>Produto D</t>
        </is>
      </c>
      <c r="C34" s="13" t="n">
        <v>0.4101</v>
      </c>
      <c r="D34" s="13" t="n">
        <v>0.3425</v>
      </c>
      <c r="E34" s="21" t="n">
        <v>-6.76</v>
      </c>
      <c r="F34" s="13" t="n">
        <v>-0.1648378444281882</v>
      </c>
    </row>
    <row r="35">
      <c r="A35" s="14" t="inlineStr">
        <is>
          <t>RJ</t>
        </is>
      </c>
      <c r="B35" s="14" t="inlineStr">
        <is>
          <t>Produto D</t>
        </is>
      </c>
      <c r="C35" s="17" t="n">
        <v>0.2059</v>
      </c>
      <c r="D35" s="17" t="n">
        <v>0.1395</v>
      </c>
      <c r="E35" s="23" t="n">
        <v>-6.639999999999999</v>
      </c>
      <c r="F35" s="17" t="n">
        <v>-0.3224866440019426</v>
      </c>
    </row>
    <row r="36">
      <c r="A36" s="10" t="inlineStr">
        <is>
          <t>SP</t>
        </is>
      </c>
      <c r="B36" s="10" t="inlineStr">
        <is>
          <t>Produto C</t>
        </is>
      </c>
      <c r="C36" s="13" t="n">
        <v>0.3525</v>
      </c>
      <c r="D36" s="13" t="n">
        <v>0.4028</v>
      </c>
      <c r="E36" s="21" t="n">
        <v>5.030000000000001</v>
      </c>
      <c r="F36" s="13" t="n">
        <v>0.1426950354609929</v>
      </c>
    </row>
    <row r="37">
      <c r="A37" s="14" t="inlineStr">
        <is>
          <t>BA</t>
        </is>
      </c>
      <c r="B37" s="14" t="inlineStr">
        <is>
          <t>Produto A</t>
        </is>
      </c>
      <c r="C37" s="17" t="n">
        <v>0.4342</v>
      </c>
      <c r="D37" s="17" t="n">
        <v>0.3905</v>
      </c>
      <c r="E37" s="23" t="n">
        <v>-4.369999999999996</v>
      </c>
      <c r="F37" s="17" t="n">
        <v>-0.1006448641179179</v>
      </c>
    </row>
    <row r="38" ht="8" customHeight="1"/>
    <row r="39"/>
    <row r="40">
      <c r="A40" s="25" t="inlineStr">
        <is>
          <t>Rótulo</t>
        </is>
      </c>
      <c r="B40" s="25" t="inlineStr">
        <is>
          <t>Variação absoluta (p.p)</t>
        </is>
      </c>
    </row>
    <row r="41">
      <c r="A41" t="inlineStr">
        <is>
          <t>MG · Produto A</t>
        </is>
      </c>
      <c r="B41" s="26" t="n">
        <v>-10.15</v>
      </c>
    </row>
    <row r="42">
      <c r="A42" t="inlineStr">
        <is>
          <t>RJ · Produto B</t>
        </is>
      </c>
      <c r="B42" s="26" t="n">
        <v>-9.620000000000001</v>
      </c>
    </row>
    <row r="43">
      <c r="A43" t="inlineStr">
        <is>
          <t>PR · Produto A</t>
        </is>
      </c>
      <c r="B43" s="26" t="n">
        <v>9.210000000000001</v>
      </c>
    </row>
    <row r="44">
      <c r="A44" t="inlineStr">
        <is>
          <t>BA · Produto B</t>
        </is>
      </c>
      <c r="B44" s="26" t="n">
        <v>-9.17</v>
      </c>
    </row>
    <row r="45">
      <c r="A45" t="inlineStr">
        <is>
          <t>SP · Produto A</t>
        </is>
      </c>
      <c r="B45" s="26" t="n">
        <v>-7.999999999999999</v>
      </c>
    </row>
    <row r="46">
      <c r="A46" t="inlineStr">
        <is>
          <t>MG · Produto C</t>
        </is>
      </c>
      <c r="B46" s="26" t="n">
        <v>-6.770000000000001</v>
      </c>
    </row>
    <row r="47">
      <c r="A47" t="inlineStr">
        <is>
          <t>SP · Produto D</t>
        </is>
      </c>
      <c r="B47" s="26" t="n">
        <v>-6.76</v>
      </c>
    </row>
    <row r="48">
      <c r="A48" t="inlineStr">
        <is>
          <t>RJ · Produto D</t>
        </is>
      </c>
      <c r="B48" s="26" t="n">
        <v>-6.639999999999999</v>
      </c>
    </row>
    <row r="49">
      <c r="A49" t="inlineStr">
        <is>
          <t>SP · Produto C</t>
        </is>
      </c>
      <c r="B49" s="26" t="n">
        <v>5.030000000000001</v>
      </c>
    </row>
    <row r="50">
      <c r="A50" t="inlineStr">
        <is>
          <t>BA · Produto A</t>
        </is>
      </c>
      <c r="B50" s="26" t="n">
        <v>-4.369999999999996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20" t="inlineStr">
        <is>
          <t>A Média de Fevereiro 2025 ficou em 27,15% contra 28,99% em Janeiro 2025, uma queda relativa de 6,36%, o saldo é resultado de movimentos opostos: 9 caso(s) melhoraram contra 10 caso(s) que pioraram, com PR puxando para cima e MG para baixo.</t>
        </is>
      </c>
      <c r="B54" s="15" t="n"/>
      <c r="C54" s="15" t="n"/>
      <c r="D54" s="15" t="n"/>
      <c r="E54" s="15" t="n"/>
      <c r="F54" s="15" t="n"/>
      <c r="G54" s="15" t="n"/>
      <c r="H54" s="15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0" t="inlineStr">
        <is>
          <t>Nenhum aviso estrutural gerado · nenhum ajuste automático aplicado.</t>
        </is>
      </c>
      <c r="B57" s="15" t="n"/>
      <c r="C57" s="15" t="n"/>
      <c r="D57" s="15" t="n"/>
      <c r="E57" s="15" t="n"/>
      <c r="F57" s="15" t="n"/>
      <c r="G57" s="15" t="n"/>
      <c r="H57" s="15" t="n"/>
    </row>
    <row r="58" ht="8" customHeight="1"/>
  </sheetData>
  <mergeCells count="42">
    <mergeCell ref="D20:E20"/>
    <mergeCell ref="C6:D6"/>
    <mergeCell ref="A15:H15"/>
    <mergeCell ref="A24:H24"/>
    <mergeCell ref="G11:H11"/>
    <mergeCell ref="C5:D5"/>
    <mergeCell ref="A11:E11"/>
    <mergeCell ref="E5:F5"/>
    <mergeCell ref="A21:C21"/>
    <mergeCell ref="D22:E22"/>
    <mergeCell ref="A1:H1"/>
    <mergeCell ref="A6:B6"/>
    <mergeCell ref="D21:E21"/>
    <mergeCell ref="F21:G21"/>
    <mergeCell ref="A23:C23"/>
    <mergeCell ref="G10:H10"/>
    <mergeCell ref="A16:H16"/>
    <mergeCell ref="F20:G20"/>
    <mergeCell ref="A22:C22"/>
    <mergeCell ref="A54:H54"/>
    <mergeCell ref="G6:H6"/>
    <mergeCell ref="A20:C20"/>
    <mergeCell ref="A12:H12"/>
    <mergeCell ref="A56:H56"/>
    <mergeCell ref="A26:H26"/>
    <mergeCell ref="E6:F6"/>
    <mergeCell ref="A57:H57"/>
    <mergeCell ref="A2:H2"/>
    <mergeCell ref="F23:G23"/>
    <mergeCell ref="A5:B5"/>
    <mergeCell ref="G5:H5"/>
    <mergeCell ref="A14:H14"/>
    <mergeCell ref="F22:G22"/>
    <mergeCell ref="A8:H8"/>
    <mergeCell ref="A17:H17"/>
    <mergeCell ref="A4:H4"/>
    <mergeCell ref="A53:H53"/>
    <mergeCell ref="A10:E10"/>
    <mergeCell ref="D23:E23"/>
    <mergeCell ref="A19:H19"/>
    <mergeCell ref="G9:H9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0.4342</v>
      </c>
      <c r="D4" s="27" t="n">
        <v>0.3905</v>
      </c>
      <c r="E4" s="26" t="n">
        <v>-4.369999999999996</v>
      </c>
      <c r="F4" s="27" t="n">
        <v>-0.1006448641179179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0.1143</v>
      </c>
      <c r="D5" s="27" t="n">
        <v>0.0226</v>
      </c>
      <c r="E5" s="26" t="n">
        <v>-9.17</v>
      </c>
      <c r="F5" s="27" t="n">
        <v>-0.8022747156605424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0.3936</v>
      </c>
      <c r="D6" s="27" t="n">
        <v>0.4033</v>
      </c>
      <c r="E6" s="26" t="n">
        <v>0.9699999999999986</v>
      </c>
      <c r="F6" s="27" t="n">
        <v>0.02464430894308939</v>
      </c>
      <c r="G6" s="28" t="inlineStr">
        <is>
          <t>Presente nos dois lados</t>
        </is>
      </c>
      <c r="H6" s="30" t="inlineStr">
        <is>
          <t>Melhorou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0.3786</v>
      </c>
      <c r="D7" s="27" t="n">
        <v>0.4135</v>
      </c>
      <c r="E7" s="26" t="n">
        <v>3.489999999999998</v>
      </c>
      <c r="F7" s="27" t="n">
        <v>0.09218172213417852</v>
      </c>
      <c r="G7" s="28" t="inlineStr">
        <is>
          <t>Presente nos dois lados</t>
        </is>
      </c>
      <c r="H7" s="30" t="inlineStr">
        <is>
          <t>Melhorou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0.2361</v>
      </c>
      <c r="D8" s="27" t="n">
        <v>0.1346</v>
      </c>
      <c r="E8" s="26" t="n">
        <v>-10.15</v>
      </c>
      <c r="F8" s="27" t="n">
        <v>-0.4299025836509954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0.1609</v>
      </c>
      <c r="D9" s="27" t="n">
        <v>0.1545</v>
      </c>
      <c r="E9" s="26" t="n">
        <v>-0.6399999999999989</v>
      </c>
      <c r="F9" s="27" t="n">
        <v>-0.03977625854568048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0.0898</v>
      </c>
      <c r="D10" s="27" t="n">
        <v>0.0221</v>
      </c>
      <c r="E10" s="26" t="n">
        <v>-6.770000000000001</v>
      </c>
      <c r="F10" s="27" t="n">
        <v>-0.7538975501113586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0.3205</v>
      </c>
      <c r="D11" s="27" t="n">
        <v>0.322</v>
      </c>
      <c r="E11" s="26" t="n">
        <v>0.1500000000000001</v>
      </c>
      <c r="F11" s="27" t="n">
        <v>0.004680187207488303</v>
      </c>
      <c r="G11" s="28" t="inlineStr">
        <is>
          <t>Presente nos dois lados</t>
        </is>
      </c>
      <c r="H11" s="28" t="inlineStr">
        <is>
          <t>Estável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0.2784</v>
      </c>
      <c r="D12" s="27" t="n">
        <v>0.3705</v>
      </c>
      <c r="E12" s="26" t="n">
        <v>9.210000000000001</v>
      </c>
      <c r="F12" s="27" t="n">
        <v>0.3308189655172414</v>
      </c>
      <c r="G12" s="28" t="inlineStr">
        <is>
          <t>Presente nos dois lados</t>
        </is>
      </c>
      <c r="H12" s="30" t="inlineStr">
        <is>
          <t>Melhorou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0.2201</v>
      </c>
      <c r="D13" s="27" t="n">
        <v>0.228</v>
      </c>
      <c r="E13" s="26" t="n">
        <v>0.7900000000000018</v>
      </c>
      <c r="F13" s="27" t="n">
        <v>0.03589277601090422</v>
      </c>
      <c r="G13" s="28" t="inlineStr">
        <is>
          <t>Presente nos dois lados</t>
        </is>
      </c>
      <c r="H13" s="30" t="inlineStr">
        <is>
          <t>Melhorou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0.3869</v>
      </c>
      <c r="D14" s="27" t="n">
        <v>0.4081</v>
      </c>
      <c r="E14" s="26" t="n">
        <v>2.12</v>
      </c>
      <c r="F14" s="27" t="n">
        <v>0.0547945205479452</v>
      </c>
      <c r="G14" s="28" t="inlineStr">
        <is>
          <t>Presente nos dois lados</t>
        </is>
      </c>
      <c r="H14" s="30" t="inlineStr">
        <is>
          <t>Melhorou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0.3988</v>
      </c>
      <c r="D15" s="27" t="n">
        <v>0.4118</v>
      </c>
      <c r="E15" s="26" t="n">
        <v>1.300000000000001</v>
      </c>
      <c r="F15" s="27" t="n">
        <v>0.03259779338014045</v>
      </c>
      <c r="G15" s="28" t="inlineStr">
        <is>
          <t>Presente nos dois lados</t>
        </is>
      </c>
      <c r="H15" s="30" t="inlineStr">
        <is>
          <t>Melhorou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0.1616</v>
      </c>
      <c r="D16" s="27" t="n">
        <v>0.182</v>
      </c>
      <c r="E16" s="26" t="n">
        <v>2.04</v>
      </c>
      <c r="F16" s="27" t="n">
        <v>0.1262376237623762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0.3795</v>
      </c>
      <c r="D17" s="27" t="n">
        <v>0.2833</v>
      </c>
      <c r="E17" s="26" t="n">
        <v>-9.620000000000001</v>
      </c>
      <c r="F17" s="27" t="n">
        <v>-0.2534914361001318</v>
      </c>
      <c r="G17" s="28" t="inlineStr">
        <is>
          <t>Presente nos dois lados</t>
        </is>
      </c>
      <c r="H17" s="29" t="inlineStr">
        <is>
          <t>Piorou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0.3782</v>
      </c>
      <c r="D18" s="27" t="n">
        <v>0.4203</v>
      </c>
      <c r="E18" s="26" t="n">
        <v>4.210000000000003</v>
      </c>
      <c r="F18" s="27" t="n">
        <v>0.1113167636171339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0.2059</v>
      </c>
      <c r="D19" s="27" t="n">
        <v>0.1395</v>
      </c>
      <c r="E19" s="26" t="n">
        <v>-6.639999999999999</v>
      </c>
      <c r="F19" s="27" t="n">
        <v>-0.3224866440019426</v>
      </c>
      <c r="G19" s="28" t="inlineStr">
        <is>
          <t>Presente nos dois lados</t>
        </is>
      </c>
      <c r="H19" s="29" t="inlineStr">
        <is>
          <t>Piorou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0.3166</v>
      </c>
      <c r="D20" s="27" t="n">
        <v>0.2366</v>
      </c>
      <c r="E20" s="26" t="n">
        <v>-7.999999999999999</v>
      </c>
      <c r="F20" s="27" t="n">
        <v>-0.2526847757422615</v>
      </c>
      <c r="G20" s="28" t="inlineStr">
        <is>
          <t>Presente nos dois lados</t>
        </is>
      </c>
      <c r="H20" s="29" t="inlineStr">
        <is>
          <t>Piorou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0.1818</v>
      </c>
      <c r="D21" s="27" t="n">
        <v>0.1414</v>
      </c>
      <c r="E21" s="26" t="n">
        <v>-4.039999999999999</v>
      </c>
      <c r="F21" s="27" t="n">
        <v>-0.2222222222222222</v>
      </c>
      <c r="G21" s="28" t="inlineStr">
        <is>
          <t>Presente nos dois lados</t>
        </is>
      </c>
      <c r="H21" s="29" t="inlineStr">
        <is>
          <t>Piorou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0.3525</v>
      </c>
      <c r="D22" s="27" t="n">
        <v>0.4028</v>
      </c>
      <c r="E22" s="26" t="n">
        <v>5.030000000000001</v>
      </c>
      <c r="F22" s="27" t="n">
        <v>0.1426950354609929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0.4101</v>
      </c>
      <c r="D23" s="27" t="n">
        <v>0.3425</v>
      </c>
      <c r="E23" s="26" t="n">
        <v>-6.76</v>
      </c>
      <c r="F23" s="27" t="n">
        <v>-0.1648378444281882</v>
      </c>
      <c r="G23" s="28" t="inlineStr">
        <is>
          <t>Presente nos dois lados</t>
        </is>
      </c>
      <c r="H23" s="29" t="inlineStr">
        <is>
          <t>Piorou</t>
        </is>
      </c>
    </row>
    <row r="24">
      <c r="C24" s="27">
        <f>SUBTOTAL(109,C4:C23)</f>
        <v/>
      </c>
      <c r="D24" s="27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4" customWidth="1" min="4" max="4"/>
    <col width="25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Variação absoluta (p.p)</t>
        </is>
      </c>
      <c r="F3" s="25" t="inlineStr">
        <is>
          <t>Variação relativa (%)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7" t="n">
        <v>0.4342</v>
      </c>
      <c r="D4" s="27" t="n">
        <v>0.3905</v>
      </c>
      <c r="E4" s="26" t="n">
        <v>-4.369999999999996</v>
      </c>
      <c r="F4" s="27" t="n">
        <v>-0.1006448641179179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7" t="n">
        <v>0.1143</v>
      </c>
      <c r="D5" s="27" t="n">
        <v>0.0226</v>
      </c>
      <c r="E5" s="26" t="n">
        <v>-9.17</v>
      </c>
      <c r="F5" s="27" t="n">
        <v>-0.8022747156605424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7" t="n">
        <v>0.3936</v>
      </c>
      <c r="D6" s="27" t="n">
        <v>0.4033</v>
      </c>
      <c r="E6" s="26" t="n">
        <v>0.9699999999999986</v>
      </c>
      <c r="F6" s="27" t="n">
        <v>0.02464430894308939</v>
      </c>
      <c r="G6" s="28" t="inlineStr">
        <is>
          <t>Presente nos dois lados</t>
        </is>
      </c>
      <c r="H6" s="30" t="inlineStr">
        <is>
          <t>Melhorou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7" t="n">
        <v>0.3786</v>
      </c>
      <c r="D7" s="27" t="n">
        <v>0.4135</v>
      </c>
      <c r="E7" s="26" t="n">
        <v>3.489999999999998</v>
      </c>
      <c r="F7" s="27" t="n">
        <v>0.09218172213417852</v>
      </c>
      <c r="G7" s="28" t="inlineStr">
        <is>
          <t>Presente nos dois lados</t>
        </is>
      </c>
      <c r="H7" s="30" t="inlineStr">
        <is>
          <t>Melhorou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7" t="n">
        <v>0.2361</v>
      </c>
      <c r="D8" s="27" t="n">
        <v>0.1346</v>
      </c>
      <c r="E8" s="26" t="n">
        <v>-10.15</v>
      </c>
      <c r="F8" s="27" t="n">
        <v>-0.4299025836509954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7" t="n">
        <v>0.1609</v>
      </c>
      <c r="D9" s="27" t="n">
        <v>0.1545</v>
      </c>
      <c r="E9" s="26" t="n">
        <v>-0.6399999999999989</v>
      </c>
      <c r="F9" s="27" t="n">
        <v>-0.03977625854568048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7" t="n">
        <v>0.0898</v>
      </c>
      <c r="D10" s="27" t="n">
        <v>0.0221</v>
      </c>
      <c r="E10" s="26" t="n">
        <v>-6.770000000000001</v>
      </c>
      <c r="F10" s="27" t="n">
        <v>-0.7538975501113586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7" t="n">
        <v>0.3205</v>
      </c>
      <c r="D11" s="27" t="n">
        <v>0.322</v>
      </c>
      <c r="E11" s="26" t="n">
        <v>0.1500000000000001</v>
      </c>
      <c r="F11" s="27" t="n">
        <v>0.004680187207488303</v>
      </c>
      <c r="G11" s="28" t="inlineStr">
        <is>
          <t>Presente nos dois lados</t>
        </is>
      </c>
      <c r="H11" s="28" t="inlineStr">
        <is>
          <t>Estável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7" t="n">
        <v>0.2784</v>
      </c>
      <c r="D12" s="27" t="n">
        <v>0.3705</v>
      </c>
      <c r="E12" s="26" t="n">
        <v>9.210000000000001</v>
      </c>
      <c r="F12" s="27" t="n">
        <v>0.3308189655172414</v>
      </c>
      <c r="G12" s="28" t="inlineStr">
        <is>
          <t>Presente nos dois lados</t>
        </is>
      </c>
      <c r="H12" s="30" t="inlineStr">
        <is>
          <t>Melhorou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7" t="n">
        <v>0.2201</v>
      </c>
      <c r="D13" s="27" t="n">
        <v>0.228</v>
      </c>
      <c r="E13" s="26" t="n">
        <v>0.7900000000000018</v>
      </c>
      <c r="F13" s="27" t="n">
        <v>0.03589277601090422</v>
      </c>
      <c r="G13" s="28" t="inlineStr">
        <is>
          <t>Presente nos dois lados</t>
        </is>
      </c>
      <c r="H13" s="30" t="inlineStr">
        <is>
          <t>Melhorou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7" t="n">
        <v>0.3869</v>
      </c>
      <c r="D14" s="27" t="n">
        <v>0.4081</v>
      </c>
      <c r="E14" s="26" t="n">
        <v>2.12</v>
      </c>
      <c r="F14" s="27" t="n">
        <v>0.0547945205479452</v>
      </c>
      <c r="G14" s="28" t="inlineStr">
        <is>
          <t>Presente nos dois lados</t>
        </is>
      </c>
      <c r="H14" s="30" t="inlineStr">
        <is>
          <t>Melhorou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7" t="n">
        <v>0.3988</v>
      </c>
      <c r="D15" s="27" t="n">
        <v>0.4118</v>
      </c>
      <c r="E15" s="26" t="n">
        <v>1.300000000000001</v>
      </c>
      <c r="F15" s="27" t="n">
        <v>0.03259779338014045</v>
      </c>
      <c r="G15" s="28" t="inlineStr">
        <is>
          <t>Presente nos dois lados</t>
        </is>
      </c>
      <c r="H15" s="30" t="inlineStr">
        <is>
          <t>Melhorou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7" t="n">
        <v>0.1616</v>
      </c>
      <c r="D16" s="27" t="n">
        <v>0.182</v>
      </c>
      <c r="E16" s="26" t="n">
        <v>2.04</v>
      </c>
      <c r="F16" s="27" t="n">
        <v>0.1262376237623762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7" t="n">
        <v>0.3795</v>
      </c>
      <c r="D17" s="27" t="n">
        <v>0.2833</v>
      </c>
      <c r="E17" s="26" t="n">
        <v>-9.620000000000001</v>
      </c>
      <c r="F17" s="27" t="n">
        <v>-0.2534914361001318</v>
      </c>
      <c r="G17" s="28" t="inlineStr">
        <is>
          <t>Presente nos dois lados</t>
        </is>
      </c>
      <c r="H17" s="29" t="inlineStr">
        <is>
          <t>Piorou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7" t="n">
        <v>0.3782</v>
      </c>
      <c r="D18" s="27" t="n">
        <v>0.4203</v>
      </c>
      <c r="E18" s="26" t="n">
        <v>4.210000000000003</v>
      </c>
      <c r="F18" s="27" t="n">
        <v>0.1113167636171339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7" t="n">
        <v>0.2059</v>
      </c>
      <c r="D19" s="27" t="n">
        <v>0.1395</v>
      </c>
      <c r="E19" s="26" t="n">
        <v>-6.639999999999999</v>
      </c>
      <c r="F19" s="27" t="n">
        <v>-0.3224866440019426</v>
      </c>
      <c r="G19" s="28" t="inlineStr">
        <is>
          <t>Presente nos dois lados</t>
        </is>
      </c>
      <c r="H19" s="29" t="inlineStr">
        <is>
          <t>Piorou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7" t="n">
        <v>0.3166</v>
      </c>
      <c r="D20" s="27" t="n">
        <v>0.2366</v>
      </c>
      <c r="E20" s="26" t="n">
        <v>-7.999999999999999</v>
      </c>
      <c r="F20" s="27" t="n">
        <v>-0.2526847757422615</v>
      </c>
      <c r="G20" s="28" t="inlineStr">
        <is>
          <t>Presente nos dois lados</t>
        </is>
      </c>
      <c r="H20" s="29" t="inlineStr">
        <is>
          <t>Piorou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7" t="n">
        <v>0.1818</v>
      </c>
      <c r="D21" s="27" t="n">
        <v>0.1414</v>
      </c>
      <c r="E21" s="26" t="n">
        <v>-4.039999999999999</v>
      </c>
      <c r="F21" s="27" t="n">
        <v>-0.2222222222222222</v>
      </c>
      <c r="G21" s="28" t="inlineStr">
        <is>
          <t>Presente nos dois lados</t>
        </is>
      </c>
      <c r="H21" s="29" t="inlineStr">
        <is>
          <t>Piorou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7" t="n">
        <v>0.3525</v>
      </c>
      <c r="D22" s="27" t="n">
        <v>0.4028</v>
      </c>
      <c r="E22" s="26" t="n">
        <v>5.030000000000001</v>
      </c>
      <c r="F22" s="27" t="n">
        <v>0.1426950354609929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7" t="n">
        <v>0.4101</v>
      </c>
      <c r="D23" s="27" t="n">
        <v>0.3425</v>
      </c>
      <c r="E23" s="26" t="n">
        <v>-6.76</v>
      </c>
      <c r="F23" s="27" t="n">
        <v>-0.1648378444281882</v>
      </c>
      <c r="G23" s="28" t="inlineStr">
        <is>
          <t>Presente nos dois lados</t>
        </is>
      </c>
      <c r="H23" s="29" t="inlineStr">
        <is>
          <t>Piorou</t>
        </is>
      </c>
      <c r="I23" s="31" t="inlineStr">
        <is>
          <t>—</t>
        </is>
      </c>
    </row>
    <row r="24">
      <c r="C24" s="27">
        <f>SUBTOTAL(109,C4:C23)</f>
        <v/>
      </c>
      <c r="D24" s="27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19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0" t="inlineStr">
        <is>
          <t>—</t>
        </is>
      </c>
      <c r="C5" s="15" t="n"/>
      <c r="D5" s="15" t="n"/>
    </row>
    <row r="6">
      <c r="A6" s="32" t="inlineStr">
        <is>
          <t>Modo da base</t>
        </is>
      </c>
      <c r="B6" s="19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0" t="inlineStr">
        <is>
          <t>Filial · Produto</t>
        </is>
      </c>
      <c r="C7" s="15" t="n"/>
      <c r="D7" s="15" t="n"/>
    </row>
    <row r="8">
      <c r="A8" s="32" t="inlineStr">
        <is>
          <t>Campo analisado</t>
        </is>
      </c>
      <c r="B8" s="19" t="inlineStr">
        <is>
          <t>Campo · PERCENTUAL</t>
        </is>
      </c>
      <c r="C8" s="11" t="n"/>
      <c r="D8" s="11" t="n"/>
    </row>
    <row r="9">
      <c r="A9" s="33" t="inlineStr">
        <is>
          <t>Tipo de medida</t>
        </is>
      </c>
      <c r="B9" s="20" t="inlineStr">
        <is>
          <t>Valor somável</t>
        </is>
      </c>
      <c r="C9" s="15" t="n"/>
      <c r="D9" s="15" t="n"/>
    </row>
    <row r="10">
      <c r="A10" s="32" t="inlineStr">
        <is>
          <t>Coluna origem</t>
        </is>
      </c>
      <c r="B10" s="19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0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19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19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19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19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0" t="inlineStr">
        <is>
          <t>1,00%</t>
        </is>
      </c>
      <c r="C24" s="15" t="n"/>
      <c r="D24" s="15" t="n"/>
    </row>
    <row r="25">
      <c r="A25" s="32" t="inlineStr">
        <is>
          <t>Limite de nulos massivos</t>
        </is>
      </c>
      <c r="B25" s="19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0" t="inlineStr">
        <is>
          <t>50</t>
        </is>
      </c>
      <c r="C26" s="15" t="n"/>
      <c r="D26" s="15" t="n"/>
    </row>
    <row r="27">
      <c r="A27" s="32" t="inlineStr">
        <is>
          <t>Limite de variação extrema</t>
        </is>
      </c>
      <c r="B27" s="19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19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0" t="inlineStr">
        <is>
          <t>Não</t>
        </is>
      </c>
      <c r="C31" s="15" t="n"/>
      <c r="D31" s="15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2026-04-25T15:43:58Z</dcterms:created>
  <dcterms:modified xsi:type="dcterms:W3CDTF">2026-04-25T15:43:58Z</dcterms:modified>
</cp:coreProperties>
</file>