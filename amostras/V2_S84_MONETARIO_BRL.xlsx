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Executivo'!$A$47:$A$56</f>
            </numRef>
          </cat>
          <val>
            <numRef>
              <f>'Resumo Executivo'!$B$47:$B$56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45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4" customWidth="1" min="4" max="4"/>
    <col width="21" customWidth="1" min="5" max="5"/>
    <col width="22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19:06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R$ 149.223,86</t>
        </is>
      </c>
      <c r="B6" s="4" t="n"/>
      <c r="C6" s="6" t="inlineStr">
        <is>
          <t>R$ 147.973,03</t>
        </is>
      </c>
      <c r="D6" s="4" t="n"/>
      <c r="E6" s="6" t="inlineStr">
        <is>
          <t>-R$ 1.250,83</t>
        </is>
      </c>
      <c r="F6" s="4" t="n"/>
      <c r="G6" s="6" t="inlineStr">
        <is>
          <t>-0,84%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10849.84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-12100.67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47,28%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77,15%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9276.280000000002</v>
      </c>
      <c r="E21" s="11" t="n"/>
      <c r="F21" s="13" t="n">
        <v>0.2837392870699726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-5848.63</v>
      </c>
      <c r="E22" s="16" t="n"/>
      <c r="F22" s="18" t="n">
        <v>-0.2154587528241839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-4617.299999999998</v>
      </c>
      <c r="E23" s="11" t="n"/>
      <c r="F23" s="13" t="n">
        <v>-0.1622982783159053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(R$ 61,18)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9326.01</v>
      </c>
      <c r="D28" s="14" t="n">
        <v>12409.03</v>
      </c>
      <c r="E28" s="14" t="n">
        <v>3083.02</v>
      </c>
      <c r="F28" s="13" t="n">
        <v>0.3305829609876035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8587.049999999999</v>
      </c>
      <c r="D29" s="19" t="n">
        <v>10980.35</v>
      </c>
      <c r="E29" s="19" t="n">
        <v>2393.300000000001</v>
      </c>
      <c r="F29" s="18" t="n">
        <v>0.2787103836591148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8430.049999999999</v>
      </c>
      <c r="D30" s="14" t="n">
        <v>10521.58</v>
      </c>
      <c r="E30" s="14" t="n">
        <v>2091.530000000001</v>
      </c>
      <c r="F30" s="13" t="n">
        <v>0.2481041037716266</v>
      </c>
    </row>
    <row r="31">
      <c r="A31" s="15" t="inlineStr">
        <is>
          <t>SP</t>
        </is>
      </c>
      <c r="B31" s="15" t="inlineStr">
        <is>
          <t>Produto B</t>
        </is>
      </c>
      <c r="C31" s="19" t="n">
        <v>6349.860000000001</v>
      </c>
      <c r="D31" s="19" t="n">
        <v>8058.29</v>
      </c>
      <c r="E31" s="19" t="n">
        <v>1708.429999999999</v>
      </c>
      <c r="F31" s="18" t="n">
        <v>0.2690500262997923</v>
      </c>
    </row>
    <row r="32">
      <c r="A32" s="10" t="inlineStr">
        <is>
          <t>BA</t>
        </is>
      </c>
      <c r="B32" s="10" t="inlineStr">
        <is>
          <t>Produto D</t>
        </is>
      </c>
      <c r="C32" s="14" t="n">
        <v>6744.91</v>
      </c>
      <c r="D32" s="14" t="n">
        <v>5171.24</v>
      </c>
      <c r="E32" s="14" t="n">
        <v>-1573.67</v>
      </c>
      <c r="F32" s="13" t="n">
        <v>-0.2333122310008584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6712.459999999999</v>
      </c>
      <c r="D33" s="19" t="n">
        <v>5199.67</v>
      </c>
      <c r="E33" s="19" t="n">
        <v>-1512.789999999999</v>
      </c>
      <c r="F33" s="18" t="n">
        <v>-0.2253704305128074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7379.8</v>
      </c>
      <c r="D34" s="14" t="n">
        <v>5952.65</v>
      </c>
      <c r="E34" s="14" t="n">
        <v>-1427.150000000001</v>
      </c>
      <c r="F34" s="13" t="n">
        <v>-0.193385999620586</v>
      </c>
    </row>
    <row r="35">
      <c r="A35" s="15" t="inlineStr">
        <is>
          <t>BA</t>
        </is>
      </c>
      <c r="B35" s="15" t="inlineStr">
        <is>
          <t>Produto C</t>
        </is>
      </c>
      <c r="C35" s="19" t="n">
        <v>6307.84</v>
      </c>
      <c r="D35" s="19" t="n">
        <v>4972.82</v>
      </c>
      <c r="E35" s="19" t="n">
        <v>-1335.02</v>
      </c>
      <c r="F35" s="18" t="n">
        <v>-0.2116445566152598</v>
      </c>
    </row>
    <row r="36">
      <c r="A36" s="10" t="inlineStr">
        <is>
          <t>MG</t>
        </is>
      </c>
      <c r="B36" s="10" t="inlineStr">
        <is>
          <t>Produto D</t>
        </is>
      </c>
      <c r="C36" s="14" t="n">
        <v>8344.450000000001</v>
      </c>
      <c r="D36" s="14" t="n">
        <v>7050.38</v>
      </c>
      <c r="E36" s="14" t="n">
        <v>-1294.070000000001</v>
      </c>
      <c r="F36" s="13" t="n">
        <v>-0.1550815212506517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5997.889999999999</v>
      </c>
      <c r="D37" s="19" t="n">
        <v>4711.440000000001</v>
      </c>
      <c r="E37" s="19" t="n">
        <v>-1286.449999999999</v>
      </c>
      <c r="F37" s="18" t="n">
        <v>-0.2144837601223095</v>
      </c>
    </row>
    <row r="38" ht="8" customHeight="1"/>
    <row r="39" ht="22" customHeight="1">
      <c r="A39" s="3" t="inlineStr">
        <is>
          <t>Leitura qualitativa</t>
        </is>
      </c>
      <c r="B39" s="4" t="n"/>
      <c r="C39" s="4" t="n"/>
      <c r="D39" s="4" t="n"/>
      <c r="E39" s="4" t="n"/>
      <c r="F39" s="4" t="n"/>
      <c r="G39" s="4" t="n"/>
      <c r="H39" s="4" t="n"/>
    </row>
    <row r="40" ht="92" customHeight="1">
      <c r="A40" s="25" t="inlineStr">
        <is>
          <t>O Fevereiro 2025 ficou abaixo do Janeiro 2025 em 0,84% no agregado (-R$ 1.250,83), o saldo é resultado de movimentos opostos: 8 caso(s) melhoraram (+R$ 10.849,84) contra 12 caso(s) que pioraram (-R$ 12.100,67), com SP puxando para cima e BA para baixo.</t>
        </is>
      </c>
      <c r="B40" s="16" t="n"/>
      <c r="C40" s="16" t="n"/>
      <c r="D40" s="16" t="n"/>
      <c r="E40" s="16" t="n"/>
      <c r="F40" s="16" t="n"/>
      <c r="G40" s="16" t="n"/>
      <c r="H40" s="16" t="n"/>
    </row>
    <row r="41" ht="8" customHeight="1"/>
    <row r="42" ht="22" customHeight="1">
      <c r="A42" s="3" t="inlineStr">
        <is>
          <t>Qualidade estrutural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2" t="inlineStr">
        <is>
          <t>Nenhum aviso estrutural gerado · nenhum ajuste automático aplicado.</t>
        </is>
      </c>
      <c r="B43" s="16" t="n"/>
      <c r="C43" s="16" t="n"/>
      <c r="D43" s="16" t="n"/>
      <c r="E43" s="16" t="n"/>
      <c r="F43" s="16" t="n"/>
      <c r="G43" s="16" t="n"/>
      <c r="H43" s="16" t="n"/>
    </row>
    <row r="44" ht="8" customHeight="1"/>
    <row r="45" ht="22" customHeight="1">
      <c r="A45" s="3" t="inlineStr">
        <is>
          <t>Variações em destaque · gráfico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7" t="inlineStr">
        <is>
          <t>Rótulo</t>
        </is>
      </c>
      <c r="B46" s="8" t="inlineStr">
        <is>
          <t>Diferença</t>
        </is>
      </c>
    </row>
    <row r="47">
      <c r="A47" s="10" t="inlineStr">
        <is>
          <t>SP · Produto D</t>
        </is>
      </c>
      <c r="B47" s="14" t="n">
        <v>3083.02</v>
      </c>
    </row>
    <row r="48">
      <c r="A48" s="15" t="inlineStr">
        <is>
          <t>SP · Produto C</t>
        </is>
      </c>
      <c r="B48" s="19" t="n">
        <v>2393.300000000001</v>
      </c>
    </row>
    <row r="49">
      <c r="A49" s="10" t="inlineStr">
        <is>
          <t>SP · Produto A</t>
        </is>
      </c>
      <c r="B49" s="14" t="n">
        <v>2091.530000000001</v>
      </c>
    </row>
    <row r="50">
      <c r="A50" s="15" t="inlineStr">
        <is>
          <t>SP · Produto B</t>
        </is>
      </c>
      <c r="B50" s="19" t="n">
        <v>1708.429999999999</v>
      </c>
    </row>
    <row r="51">
      <c r="A51" s="10" t="inlineStr">
        <is>
          <t>BA · Produto D</t>
        </is>
      </c>
      <c r="B51" s="14" t="n">
        <v>-1573.67</v>
      </c>
    </row>
    <row r="52">
      <c r="A52" s="15" t="inlineStr">
        <is>
          <t>BA · Produto B</t>
        </is>
      </c>
      <c r="B52" s="19" t="n">
        <v>-1512.789999999999</v>
      </c>
    </row>
    <row r="53">
      <c r="A53" s="10" t="inlineStr">
        <is>
          <t>BA · Produto A</t>
        </is>
      </c>
      <c r="B53" s="14" t="n">
        <v>-1427.150000000001</v>
      </c>
    </row>
    <row r="54">
      <c r="A54" s="15" t="inlineStr">
        <is>
          <t>BA · Produto C</t>
        </is>
      </c>
      <c r="B54" s="19" t="n">
        <v>-1335.02</v>
      </c>
    </row>
    <row r="55">
      <c r="A55" s="10" t="inlineStr">
        <is>
          <t>MG · Produto D</t>
        </is>
      </c>
      <c r="B55" s="14" t="n">
        <v>-1294.070000000001</v>
      </c>
    </row>
    <row r="56">
      <c r="A56" s="15" t="inlineStr">
        <is>
          <t>MG · Produto A</t>
        </is>
      </c>
      <c r="B56" s="19" t="n">
        <v>-1286.449999999999</v>
      </c>
    </row>
  </sheetData>
  <mergeCells count="46">
    <mergeCell ref="D20:E20"/>
    <mergeCell ref="C6:D6"/>
    <mergeCell ref="A39:H39"/>
    <mergeCell ref="A15:H15"/>
    <mergeCell ref="A24:H24"/>
    <mergeCell ref="G11:H11"/>
    <mergeCell ref="C5:D5"/>
    <mergeCell ref="E5:F5"/>
    <mergeCell ref="A21:C21"/>
    <mergeCell ref="D22:E22"/>
    <mergeCell ref="A1:H1"/>
    <mergeCell ref="A45:H45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G6:H6"/>
    <mergeCell ref="E9:F9"/>
    <mergeCell ref="A20:C20"/>
    <mergeCell ref="A10:C10"/>
    <mergeCell ref="A12:H12"/>
    <mergeCell ref="A26:H26"/>
    <mergeCell ref="E6:F6"/>
    <mergeCell ref="A2:H2"/>
    <mergeCell ref="E11:F11"/>
    <mergeCell ref="A5:B5"/>
    <mergeCell ref="G5:H5"/>
    <mergeCell ref="A9:C9"/>
    <mergeCell ref="F23:G23"/>
    <mergeCell ref="A42:H42"/>
    <mergeCell ref="A14:H14"/>
    <mergeCell ref="F22:G22"/>
    <mergeCell ref="A8:H8"/>
    <mergeCell ref="A17:H17"/>
    <mergeCell ref="A4:H4"/>
    <mergeCell ref="A11:C11"/>
    <mergeCell ref="A43:H43"/>
    <mergeCell ref="D23:E23"/>
    <mergeCell ref="A19:H19"/>
    <mergeCell ref="G9:H9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6" t="inlineStr">
        <is>
          <t>Filial</t>
        </is>
      </c>
      <c r="B3" s="26" t="inlineStr">
        <is>
          <t>Produto</t>
        </is>
      </c>
      <c r="C3" s="26" t="inlineStr">
        <is>
          <t>Valor · Janeiro 2025</t>
        </is>
      </c>
      <c r="D3" s="26" t="inlineStr">
        <is>
          <t>Valor · Fevereiro 2025</t>
        </is>
      </c>
      <c r="E3" s="26" t="inlineStr">
        <is>
          <t>Diferença</t>
        </is>
      </c>
      <c r="F3" s="26" t="inlineStr">
        <is>
          <t>Variação %</t>
        </is>
      </c>
      <c r="G3" s="26" t="inlineStr">
        <is>
          <t>Situação estrutural</t>
        </is>
      </c>
      <c r="H3" s="26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7379.8</v>
      </c>
      <c r="D4" s="27" t="n">
        <v>5952.65</v>
      </c>
      <c r="E4" s="27" t="n">
        <v>-1427.150000000001</v>
      </c>
      <c r="F4" s="28" t="n">
        <v>-0.193385999620586</v>
      </c>
      <c r="G4" s="29" t="inlineStr">
        <is>
          <t>Presente nos dois lados</t>
        </is>
      </c>
      <c r="H4" s="30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6712.459999999999</v>
      </c>
      <c r="D5" s="27" t="n">
        <v>5199.67</v>
      </c>
      <c r="E5" s="27" t="n">
        <v>-1512.789999999999</v>
      </c>
      <c r="F5" s="28" t="n">
        <v>-0.2253704305128074</v>
      </c>
      <c r="G5" s="29" t="inlineStr">
        <is>
          <t>Presente nos dois lados</t>
        </is>
      </c>
      <c r="H5" s="30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6307.84</v>
      </c>
      <c r="D6" s="27" t="n">
        <v>4972.82</v>
      </c>
      <c r="E6" s="27" t="n">
        <v>-1335.02</v>
      </c>
      <c r="F6" s="28" t="n">
        <v>-0.2116445566152598</v>
      </c>
      <c r="G6" s="29" t="inlineStr">
        <is>
          <t>Presente nos dois lados</t>
        </is>
      </c>
      <c r="H6" s="30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6744.91</v>
      </c>
      <c r="D7" s="27" t="n">
        <v>5171.24</v>
      </c>
      <c r="E7" s="27" t="n">
        <v>-1573.67</v>
      </c>
      <c r="F7" s="28" t="n">
        <v>-0.2333122310008584</v>
      </c>
      <c r="G7" s="29" t="inlineStr">
        <is>
          <t>Presente nos dois lados</t>
        </is>
      </c>
      <c r="H7" s="30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5997.889999999999</v>
      </c>
      <c r="D8" s="27" t="n">
        <v>4711.440000000001</v>
      </c>
      <c r="E8" s="27" t="n">
        <v>-1286.449999999999</v>
      </c>
      <c r="F8" s="28" t="n">
        <v>-0.2144837601223095</v>
      </c>
      <c r="G8" s="29" t="inlineStr">
        <is>
          <t>Presente nos dois lados</t>
        </is>
      </c>
      <c r="H8" s="30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5739.469999999999</v>
      </c>
      <c r="D9" s="27" t="n">
        <v>4987.71</v>
      </c>
      <c r="E9" s="27" t="n">
        <v>-751.7599999999993</v>
      </c>
      <c r="F9" s="28" t="n">
        <v>-0.1309807351549881</v>
      </c>
      <c r="G9" s="29" t="inlineStr">
        <is>
          <t>Presente nos dois lados</t>
        </is>
      </c>
      <c r="H9" s="30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8367.66</v>
      </c>
      <c r="D10" s="27" t="n">
        <v>7082.64</v>
      </c>
      <c r="E10" s="27" t="n">
        <v>-1285.02</v>
      </c>
      <c r="F10" s="28" t="n">
        <v>-0.1535698152171574</v>
      </c>
      <c r="G10" s="29" t="inlineStr">
        <is>
          <t>Presente nos dois lados</t>
        </is>
      </c>
      <c r="H10" s="30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8344.450000000001</v>
      </c>
      <c r="D11" s="27" t="n">
        <v>7050.38</v>
      </c>
      <c r="E11" s="27" t="n">
        <v>-1294.070000000001</v>
      </c>
      <c r="F11" s="28" t="n">
        <v>-0.1550815212506517</v>
      </c>
      <c r="G11" s="29" t="inlineStr">
        <is>
          <t>Presente nos dois lados</t>
        </is>
      </c>
      <c r="H11" s="30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5723.62</v>
      </c>
      <c r="D12" s="27" t="n">
        <v>5410.04</v>
      </c>
      <c r="E12" s="27" t="n">
        <v>-313.5799999999999</v>
      </c>
      <c r="F12" s="28" t="n">
        <v>-0.05478700542663558</v>
      </c>
      <c r="G12" s="29" t="inlineStr">
        <is>
          <t>Presente nos dois lados</t>
        </is>
      </c>
      <c r="H12" s="30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7972.379999999999</v>
      </c>
      <c r="D13" s="27" t="n">
        <v>7557.01</v>
      </c>
      <c r="E13" s="27" t="n">
        <v>-415.369999999999</v>
      </c>
      <c r="F13" s="28" t="n">
        <v>-0.05210112914838468</v>
      </c>
      <c r="G13" s="29" t="inlineStr">
        <is>
          <t>Presente nos dois lados</t>
        </is>
      </c>
      <c r="H13" s="30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8835.49</v>
      </c>
      <c r="D14" s="27" t="n">
        <v>8186.21</v>
      </c>
      <c r="E14" s="27" t="n">
        <v>-649.2799999999997</v>
      </c>
      <c r="F14" s="28" t="n">
        <v>-0.07348545468332823</v>
      </c>
      <c r="G14" s="29" t="inlineStr">
        <is>
          <t>Presente nos dois lados</t>
        </is>
      </c>
      <c r="H14" s="30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7828.84</v>
      </c>
      <c r="D15" s="27" t="n">
        <v>7572.33</v>
      </c>
      <c r="E15" s="27" t="n">
        <v>-256.5100000000002</v>
      </c>
      <c r="F15" s="28" t="n">
        <v>-0.03276475186617688</v>
      </c>
      <c r="G15" s="29" t="inlineStr">
        <is>
          <t>Presente nos dois lados</t>
        </is>
      </c>
      <c r="H15" s="30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7767.61</v>
      </c>
      <c r="D16" s="27" t="n">
        <v>7986.95</v>
      </c>
      <c r="E16" s="27" t="n">
        <v>219.3400000000001</v>
      </c>
      <c r="F16" s="28" t="n">
        <v>0.02823777197876826</v>
      </c>
      <c r="G16" s="29" t="inlineStr">
        <is>
          <t>Presente nos dois lados</t>
        </is>
      </c>
      <c r="H16" s="31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8364.92</v>
      </c>
      <c r="D17" s="27" t="n">
        <v>8879.49</v>
      </c>
      <c r="E17" s="27" t="n">
        <v>514.5699999999997</v>
      </c>
      <c r="F17" s="28" t="n">
        <v>0.06151523266211747</v>
      </c>
      <c r="G17" s="29" t="inlineStr">
        <is>
          <t>Presente nos dois lados</t>
        </is>
      </c>
      <c r="H17" s="31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5550.58</v>
      </c>
      <c r="D18" s="27" t="n">
        <v>6064.28</v>
      </c>
      <c r="E18" s="27" t="n">
        <v>513.6999999999998</v>
      </c>
      <c r="F18" s="28" t="n">
        <v>0.09254888678300283</v>
      </c>
      <c r="G18" s="29" t="inlineStr">
        <is>
          <t>Presente nos dois lados</t>
        </is>
      </c>
      <c r="H18" s="31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8892.970000000001</v>
      </c>
      <c r="D19" s="27" t="n">
        <v>9218.92</v>
      </c>
      <c r="E19" s="27" t="n">
        <v>325.9499999999989</v>
      </c>
      <c r="F19" s="28" t="n">
        <v>0.03665254689940468</v>
      </c>
      <c r="G19" s="29" t="inlineStr">
        <is>
          <t>Presente nos dois lados</t>
        </is>
      </c>
      <c r="H19" s="31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8430.049999999999</v>
      </c>
      <c r="D20" s="27" t="n">
        <v>10521.58</v>
      </c>
      <c r="E20" s="27" t="n">
        <v>2091.530000000001</v>
      </c>
      <c r="F20" s="28" t="n">
        <v>0.2481041037716266</v>
      </c>
      <c r="G20" s="29" t="inlineStr">
        <is>
          <t>Presente nos dois lados</t>
        </is>
      </c>
      <c r="H20" s="31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6349.860000000001</v>
      </c>
      <c r="D21" s="27" t="n">
        <v>8058.29</v>
      </c>
      <c r="E21" s="27" t="n">
        <v>1708.429999999999</v>
      </c>
      <c r="F21" s="28" t="n">
        <v>0.2690500262997923</v>
      </c>
      <c r="G21" s="29" t="inlineStr">
        <is>
          <t>Presente nos dois lados</t>
        </is>
      </c>
      <c r="H21" s="31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8587.049999999999</v>
      </c>
      <c r="D22" s="27" t="n">
        <v>10980.35</v>
      </c>
      <c r="E22" s="27" t="n">
        <v>2393.300000000001</v>
      </c>
      <c r="F22" s="28" t="n">
        <v>0.2787103836591148</v>
      </c>
      <c r="G22" s="29" t="inlineStr">
        <is>
          <t>Presente nos dois lados</t>
        </is>
      </c>
      <c r="H22" s="31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9326.01</v>
      </c>
      <c r="D23" s="27" t="n">
        <v>12409.03</v>
      </c>
      <c r="E23" s="27" t="n">
        <v>3083.02</v>
      </c>
      <c r="F23" s="28" t="n">
        <v>0.3305829609876035</v>
      </c>
      <c r="G23" s="29" t="inlineStr">
        <is>
          <t>Presente nos dois lados</t>
        </is>
      </c>
      <c r="H23" s="31" t="inlineStr">
        <is>
          <t>Melhorou</t>
        </is>
      </c>
    </row>
    <row r="24">
      <c r="C24" s="27">
        <f>SUBTOTAL(109,C4:C23)</f>
        <v/>
      </c>
      <c r="D24" s="27">
        <f>SUBTOTAL(109,D4:D23)</f>
        <v/>
      </c>
      <c r="E24" s="27">
        <f>SUBTOTAL(109,E4:E23)</f>
        <v/>
      </c>
      <c r="F24" s="28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6" t="inlineStr">
        <is>
          <t>Filial</t>
        </is>
      </c>
      <c r="B3" s="26" t="inlineStr">
        <is>
          <t>Produto</t>
        </is>
      </c>
      <c r="C3" s="26" t="inlineStr">
        <is>
          <t>Valor · Janeiro 2025</t>
        </is>
      </c>
      <c r="D3" s="26" t="inlineStr">
        <is>
          <t>Valor · Fevereiro 2025</t>
        </is>
      </c>
      <c r="E3" s="26" t="inlineStr">
        <is>
          <t>Diferença</t>
        </is>
      </c>
      <c r="F3" s="26" t="inlineStr">
        <is>
          <t>Variação %</t>
        </is>
      </c>
      <c r="G3" s="26" t="inlineStr">
        <is>
          <t>Situação estrutural</t>
        </is>
      </c>
      <c r="H3" s="26" t="inlineStr">
        <is>
          <t>Leitura qualitativa</t>
        </is>
      </c>
      <c r="I3" s="26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7379.8</v>
      </c>
      <c r="D4" s="27" t="n">
        <v>5952.65</v>
      </c>
      <c r="E4" s="27" t="n">
        <v>-1427.150000000001</v>
      </c>
      <c r="F4" s="28" t="n">
        <v>-0.193385999620586</v>
      </c>
      <c r="G4" s="29" t="inlineStr">
        <is>
          <t>Presente nos dois lados</t>
        </is>
      </c>
      <c r="H4" s="30" t="inlineStr">
        <is>
          <t>Piorou</t>
        </is>
      </c>
      <c r="I4" s="32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6712.459999999999</v>
      </c>
      <c r="D5" s="27" t="n">
        <v>5199.67</v>
      </c>
      <c r="E5" s="27" t="n">
        <v>-1512.789999999999</v>
      </c>
      <c r="F5" s="28" t="n">
        <v>-0.2253704305128074</v>
      </c>
      <c r="G5" s="29" t="inlineStr">
        <is>
          <t>Presente nos dois lados</t>
        </is>
      </c>
      <c r="H5" s="30" t="inlineStr">
        <is>
          <t>Piorou</t>
        </is>
      </c>
      <c r="I5" s="32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6307.84</v>
      </c>
      <c r="D6" s="27" t="n">
        <v>4972.82</v>
      </c>
      <c r="E6" s="27" t="n">
        <v>-1335.02</v>
      </c>
      <c r="F6" s="28" t="n">
        <v>-0.2116445566152598</v>
      </c>
      <c r="G6" s="29" t="inlineStr">
        <is>
          <t>Presente nos dois lados</t>
        </is>
      </c>
      <c r="H6" s="30" t="inlineStr">
        <is>
          <t>Piorou</t>
        </is>
      </c>
      <c r="I6" s="32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6744.91</v>
      </c>
      <c r="D7" s="27" t="n">
        <v>5171.24</v>
      </c>
      <c r="E7" s="27" t="n">
        <v>-1573.67</v>
      </c>
      <c r="F7" s="28" t="n">
        <v>-0.2333122310008584</v>
      </c>
      <c r="G7" s="29" t="inlineStr">
        <is>
          <t>Presente nos dois lados</t>
        </is>
      </c>
      <c r="H7" s="30" t="inlineStr">
        <is>
          <t>Piorou</t>
        </is>
      </c>
      <c r="I7" s="32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5997.889999999999</v>
      </c>
      <c r="D8" s="27" t="n">
        <v>4711.440000000001</v>
      </c>
      <c r="E8" s="27" t="n">
        <v>-1286.449999999999</v>
      </c>
      <c r="F8" s="28" t="n">
        <v>-0.2144837601223095</v>
      </c>
      <c r="G8" s="29" t="inlineStr">
        <is>
          <t>Presente nos dois lados</t>
        </is>
      </c>
      <c r="H8" s="30" t="inlineStr">
        <is>
          <t>Piorou</t>
        </is>
      </c>
      <c r="I8" s="32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5739.469999999999</v>
      </c>
      <c r="D9" s="27" t="n">
        <v>4987.71</v>
      </c>
      <c r="E9" s="27" t="n">
        <v>-751.7599999999993</v>
      </c>
      <c r="F9" s="28" t="n">
        <v>-0.1309807351549881</v>
      </c>
      <c r="G9" s="29" t="inlineStr">
        <is>
          <t>Presente nos dois lados</t>
        </is>
      </c>
      <c r="H9" s="30" t="inlineStr">
        <is>
          <t>Piorou</t>
        </is>
      </c>
      <c r="I9" s="32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8367.66</v>
      </c>
      <c r="D10" s="27" t="n">
        <v>7082.64</v>
      </c>
      <c r="E10" s="27" t="n">
        <v>-1285.02</v>
      </c>
      <c r="F10" s="28" t="n">
        <v>-0.1535698152171574</v>
      </c>
      <c r="G10" s="29" t="inlineStr">
        <is>
          <t>Presente nos dois lados</t>
        </is>
      </c>
      <c r="H10" s="30" t="inlineStr">
        <is>
          <t>Piorou</t>
        </is>
      </c>
      <c r="I10" s="32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8344.450000000001</v>
      </c>
      <c r="D11" s="27" t="n">
        <v>7050.38</v>
      </c>
      <c r="E11" s="27" t="n">
        <v>-1294.070000000001</v>
      </c>
      <c r="F11" s="28" t="n">
        <v>-0.1550815212506517</v>
      </c>
      <c r="G11" s="29" t="inlineStr">
        <is>
          <t>Presente nos dois lados</t>
        </is>
      </c>
      <c r="H11" s="30" t="inlineStr">
        <is>
          <t>Piorou</t>
        </is>
      </c>
      <c r="I11" s="32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5723.62</v>
      </c>
      <c r="D12" s="27" t="n">
        <v>5410.04</v>
      </c>
      <c r="E12" s="27" t="n">
        <v>-313.5799999999999</v>
      </c>
      <c r="F12" s="28" t="n">
        <v>-0.05478700542663558</v>
      </c>
      <c r="G12" s="29" t="inlineStr">
        <is>
          <t>Presente nos dois lados</t>
        </is>
      </c>
      <c r="H12" s="30" t="inlineStr">
        <is>
          <t>Piorou</t>
        </is>
      </c>
      <c r="I12" s="32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7972.379999999999</v>
      </c>
      <c r="D13" s="27" t="n">
        <v>7557.01</v>
      </c>
      <c r="E13" s="27" t="n">
        <v>-415.369999999999</v>
      </c>
      <c r="F13" s="28" t="n">
        <v>-0.05210112914838468</v>
      </c>
      <c r="G13" s="29" t="inlineStr">
        <is>
          <t>Presente nos dois lados</t>
        </is>
      </c>
      <c r="H13" s="30" t="inlineStr">
        <is>
          <t>Piorou</t>
        </is>
      </c>
      <c r="I13" s="32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8835.49</v>
      </c>
      <c r="D14" s="27" t="n">
        <v>8186.21</v>
      </c>
      <c r="E14" s="27" t="n">
        <v>-649.2799999999997</v>
      </c>
      <c r="F14" s="28" t="n">
        <v>-0.07348545468332823</v>
      </c>
      <c r="G14" s="29" t="inlineStr">
        <is>
          <t>Presente nos dois lados</t>
        </is>
      </c>
      <c r="H14" s="30" t="inlineStr">
        <is>
          <t>Piorou</t>
        </is>
      </c>
      <c r="I14" s="32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7828.84</v>
      </c>
      <c r="D15" s="27" t="n">
        <v>7572.33</v>
      </c>
      <c r="E15" s="27" t="n">
        <v>-256.5100000000002</v>
      </c>
      <c r="F15" s="28" t="n">
        <v>-0.03276475186617688</v>
      </c>
      <c r="G15" s="29" t="inlineStr">
        <is>
          <t>Presente nos dois lados</t>
        </is>
      </c>
      <c r="H15" s="30" t="inlineStr">
        <is>
          <t>Piorou</t>
        </is>
      </c>
      <c r="I15" s="32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7767.61</v>
      </c>
      <c r="D16" s="27" t="n">
        <v>7986.95</v>
      </c>
      <c r="E16" s="27" t="n">
        <v>219.3400000000001</v>
      </c>
      <c r="F16" s="28" t="n">
        <v>0.02823777197876826</v>
      </c>
      <c r="G16" s="29" t="inlineStr">
        <is>
          <t>Presente nos dois lados</t>
        </is>
      </c>
      <c r="H16" s="31" t="inlineStr">
        <is>
          <t>Melhorou</t>
        </is>
      </c>
      <c r="I16" s="32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8364.92</v>
      </c>
      <c r="D17" s="27" t="n">
        <v>8879.49</v>
      </c>
      <c r="E17" s="27" t="n">
        <v>514.5699999999997</v>
      </c>
      <c r="F17" s="28" t="n">
        <v>0.06151523266211747</v>
      </c>
      <c r="G17" s="29" t="inlineStr">
        <is>
          <t>Presente nos dois lados</t>
        </is>
      </c>
      <c r="H17" s="31" t="inlineStr">
        <is>
          <t>Melhorou</t>
        </is>
      </c>
      <c r="I17" s="32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5550.58</v>
      </c>
      <c r="D18" s="27" t="n">
        <v>6064.28</v>
      </c>
      <c r="E18" s="27" t="n">
        <v>513.6999999999998</v>
      </c>
      <c r="F18" s="28" t="n">
        <v>0.09254888678300283</v>
      </c>
      <c r="G18" s="29" t="inlineStr">
        <is>
          <t>Presente nos dois lados</t>
        </is>
      </c>
      <c r="H18" s="31" t="inlineStr">
        <is>
          <t>Melhorou</t>
        </is>
      </c>
      <c r="I18" s="32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8892.970000000001</v>
      </c>
      <c r="D19" s="27" t="n">
        <v>9218.92</v>
      </c>
      <c r="E19" s="27" t="n">
        <v>325.9499999999989</v>
      </c>
      <c r="F19" s="28" t="n">
        <v>0.03665254689940468</v>
      </c>
      <c r="G19" s="29" t="inlineStr">
        <is>
          <t>Presente nos dois lados</t>
        </is>
      </c>
      <c r="H19" s="31" t="inlineStr">
        <is>
          <t>Melhorou</t>
        </is>
      </c>
      <c r="I19" s="32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8430.049999999999</v>
      </c>
      <c r="D20" s="27" t="n">
        <v>10521.58</v>
      </c>
      <c r="E20" s="27" t="n">
        <v>2091.530000000001</v>
      </c>
      <c r="F20" s="28" t="n">
        <v>0.2481041037716266</v>
      </c>
      <c r="G20" s="29" t="inlineStr">
        <is>
          <t>Presente nos dois lados</t>
        </is>
      </c>
      <c r="H20" s="31" t="inlineStr">
        <is>
          <t>Melhorou</t>
        </is>
      </c>
      <c r="I20" s="32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6349.860000000001</v>
      </c>
      <c r="D21" s="27" t="n">
        <v>8058.29</v>
      </c>
      <c r="E21" s="27" t="n">
        <v>1708.429999999999</v>
      </c>
      <c r="F21" s="28" t="n">
        <v>0.2690500262997923</v>
      </c>
      <c r="G21" s="29" t="inlineStr">
        <is>
          <t>Presente nos dois lados</t>
        </is>
      </c>
      <c r="H21" s="31" t="inlineStr">
        <is>
          <t>Melhorou</t>
        </is>
      </c>
      <c r="I21" s="32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8587.049999999999</v>
      </c>
      <c r="D22" s="27" t="n">
        <v>10980.35</v>
      </c>
      <c r="E22" s="27" t="n">
        <v>2393.300000000001</v>
      </c>
      <c r="F22" s="28" t="n">
        <v>0.2787103836591148</v>
      </c>
      <c r="G22" s="29" t="inlineStr">
        <is>
          <t>Presente nos dois lados</t>
        </is>
      </c>
      <c r="H22" s="31" t="inlineStr">
        <is>
          <t>Melhorou</t>
        </is>
      </c>
      <c r="I22" s="32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9326.01</v>
      </c>
      <c r="D23" s="27" t="n">
        <v>12409.03</v>
      </c>
      <c r="E23" s="27" t="n">
        <v>3083.02</v>
      </c>
      <c r="F23" s="28" t="n">
        <v>0.3305829609876035</v>
      </c>
      <c r="G23" s="29" t="inlineStr">
        <is>
          <t>Presente nos dois lados</t>
        </is>
      </c>
      <c r="H23" s="31" t="inlineStr">
        <is>
          <t>Melhorou</t>
        </is>
      </c>
      <c r="I23" s="32" t="inlineStr">
        <is>
          <t>—</t>
        </is>
      </c>
    </row>
    <row r="24">
      <c r="C24" s="27">
        <f>SUBTOTAL(109,C4:C23)</f>
        <v/>
      </c>
      <c r="D24" s="27">
        <f>SUBTOTAL(109,D4:D23)</f>
        <v/>
      </c>
      <c r="E24" s="27">
        <f>SUBTOTAL(109,E4:E23)</f>
        <v/>
      </c>
      <c r="F24" s="28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3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4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3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4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3" t="inlineStr">
        <is>
          <t>Campo analisado</t>
        </is>
      </c>
      <c r="B8" s="21" t="inlineStr">
        <is>
          <t>Campo · MONETARIO_BRL</t>
        </is>
      </c>
      <c r="C8" s="11" t="n"/>
      <c r="D8" s="11" t="n"/>
    </row>
    <row r="9">
      <c r="A9" s="34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3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4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3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4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3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4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3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3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4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2026-04-25T22:06:14Z</dcterms:created>
  <dcterms:modified xsi:type="dcterms:W3CDTF">2026-04-25T22:06:14Z</dcterms:modified>
</cp:coreProperties>
</file>