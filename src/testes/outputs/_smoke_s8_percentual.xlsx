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+0.00&quot; p.p&quot;;[Red]-0.00&quot; p.p&quot;;-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1E6E3B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D8E8F5"/>
        <bgColor rgb="00D8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166" fontId="7" fillId="3" borderId="1" applyAlignment="1" pivotButton="0" quotePrefix="0" xfId="0">
      <alignment horizontal="right" vertical="center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6" fontId="7" fillId="4" borderId="1" applyAlignment="1" pivotButton="0" quotePrefix="0" xfId="0">
      <alignment horizontal="right" vertical="center" indent="1"/>
    </xf>
    <xf numFmtId="165" fontId="7" fillId="4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 indent="1"/>
    </xf>
    <xf numFmtId="0" fontId="7" fillId="4" borderId="1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/>
    </xf>
    <xf numFmtId="165" fontId="0" fillId="0" borderId="0" pivotButton="0" quotePrefix="0" xfId="0"/>
    <xf numFmtId="166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cat>
            <numRef>
              <f>'Resumo Executivo'!$A$35:$A$38</f>
            </numRef>
          </cat>
          <val>
            <numRef>
              <f>'Resumo Executivo'!$B$35:$B$38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+0&quot; p.p&quot;;[Red]-0&quot; p.p&quot;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33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G8" headerRowCount="1" totalsRowCount="1" totalsRowShown="1">
  <autoFilter ref="A3:G7"/>
  <tableColumns count="7">
    <tableColumn id="1" name="Categoria"/>
    <tableColumn id="2" name="Valor · Janeiro" totalsRowFunction="sum"/>
    <tableColumn id="3" name="Valor · Fevereiro" totalsRowFunction="sum"/>
    <tableColumn id="4" name="Variação absoluta (p.p)" totalsRowFunction="sum"/>
    <tableColumn id="5" name="Variação relativa (%)" totalsRowFunction="average"/>
    <tableColumn id="6" name="Situação estrutural"/>
    <tableColumn id="7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H8" headerRowCount="1" totalsRowCount="1" totalsRowShown="1">
  <autoFilter ref="A3:H7"/>
  <tableColumns count="8">
    <tableColumn id="1" name="Categoria"/>
    <tableColumn id="2" name="Valor · Janeiro" totalsRowFunction="sum"/>
    <tableColumn id="3" name="Valor · Fevereiro" totalsRowFunction="sum"/>
    <tableColumn id="4" name="Variação absoluta (p.p)" totalsRowFunction="sum"/>
    <tableColumn id="5" name="Variação relativa (%)" totalsRowFunction="average"/>
    <tableColumn id="6" name="Situação estrutural"/>
    <tableColumn id="7" name="Leitura qualitativa"/>
    <tableColumn id="8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25" customWidth="1" min="4" max="4"/>
    <col width="23" customWidth="1" min="5" max="5"/>
    <col width="12" customWidth="1" min="6" max="6"/>
    <col width="18" customWidth="1" min="8" max="8"/>
  </cols>
  <sheetData>
    <row r="1" ht="28" customHeight="1">
      <c r="A1" s="1" t="inlineStr">
        <is>
          <t>Análise comparativa · Janeiro × Fevereiro</t>
        </is>
      </c>
    </row>
    <row r="2">
      <c r="A2" s="2" t="inlineStr">
        <is>
          <t>Gerado em 26/04/2026 às 17:31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Média · Janeiro</t>
        </is>
      </c>
      <c r="B5" s="4" t="n"/>
      <c r="C5" s="5" t="inlineStr">
        <is>
          <t>Média · Fevereiro</t>
        </is>
      </c>
      <c r="D5" s="4" t="n"/>
      <c r="E5" s="5" t="inlineStr">
        <is>
          <t>Variação absoluta (p.p)</t>
        </is>
      </c>
      <c r="F5" s="4" t="n"/>
      <c r="G5" s="5" t="inlineStr">
        <is>
          <t>Variação relativa (%)</t>
        </is>
      </c>
      <c r="H5" s="4" t="n"/>
    </row>
    <row r="6" ht="32" customHeight="1">
      <c r="A6" s="6" t="inlineStr">
        <is>
          <t>58050,00%</t>
        </is>
      </c>
      <c r="B6" s="4" t="n"/>
      <c r="C6" s="6" t="inlineStr">
        <is>
          <t>64350,00%</t>
        </is>
      </c>
      <c r="D6" s="4" t="n"/>
      <c r="E6" s="6" t="inlineStr">
        <is>
          <t>+6300,00 p.p</t>
        </is>
      </c>
      <c r="F6" s="4" t="n"/>
      <c r="G6" s="6" t="inlineStr">
        <is>
          <t>10,85%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8" t="n"/>
      <c r="E9" s="8" t="n"/>
      <c r="F9" s="9" t="inlineStr">
        <is>
          <t>Casos</t>
        </is>
      </c>
      <c r="G9" s="8" t="inlineStr">
        <is>
          <t>Participação</t>
        </is>
      </c>
      <c r="H9" s="8" t="n"/>
    </row>
    <row r="10">
      <c r="A10" s="10" t="inlineStr">
        <is>
          <t>Melhorou</t>
        </is>
      </c>
      <c r="B10" s="11" t="n"/>
      <c r="C10" s="11" t="n"/>
      <c r="D10" s="11" t="n"/>
      <c r="E10" s="11" t="n"/>
      <c r="F10" s="12" t="n">
        <v>4</v>
      </c>
      <c r="G10" s="13" t="n">
        <v>1</v>
      </c>
      <c r="H10" s="11" t="n"/>
    </row>
    <row r="11">
      <c r="A11" s="14" t="inlineStr">
        <is>
          <t>Total comparado: 4 casos · Não comparáveis: 0 casos</t>
        </is>
      </c>
      <c r="B11" s="4" t="n"/>
      <c r="C11" s="4" t="n"/>
      <c r="D11" s="4" t="n"/>
      <c r="E11" s="4" t="n"/>
      <c r="F11" s="4" t="n"/>
      <c r="G11" s="4" t="n"/>
      <c r="H11" s="4" t="n"/>
    </row>
    <row r="12" ht="8" customHeight="1"/>
    <row r="13" ht="22" customHeight="1">
      <c r="A13" s="3" t="inlineStr">
        <is>
          <t>Onde se concentra · por Categoria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7" t="inlineStr">
        <is>
          <t>Categoria</t>
        </is>
      </c>
      <c r="B14" s="7" t="n"/>
      <c r="C14" s="7" t="n"/>
      <c r="D14" s="8" t="inlineStr">
        <is>
          <t>Δ médio</t>
        </is>
      </c>
      <c r="E14" s="8" t="n"/>
      <c r="F14" s="8" t="inlineStr">
        <is>
          <t>Variação relativa (%)</t>
        </is>
      </c>
      <c r="G14" s="8" t="n"/>
      <c r="H14" s="9" t="inlineStr">
        <is>
          <t>Direção</t>
        </is>
      </c>
    </row>
    <row r="15">
      <c r="A15" s="10" t="inlineStr">
        <is>
          <t>D</t>
        </is>
      </c>
      <c r="B15" s="11" t="n"/>
      <c r="C15" s="11" t="n"/>
      <c r="D15" s="15" t="n">
        <v>7200</v>
      </c>
      <c r="E15" s="11" t="n"/>
      <c r="F15" s="13" t="n">
        <v>0.1095890410958904</v>
      </c>
      <c r="G15" s="11" t="n"/>
      <c r="H15" s="16" t="inlineStr">
        <is>
          <t>↑ Puxa para cima</t>
        </is>
      </c>
    </row>
    <row r="16">
      <c r="A16" s="17" t="inlineStr">
        <is>
          <t>C</t>
        </is>
      </c>
      <c r="B16" s="18" t="n"/>
      <c r="C16" s="18" t="n"/>
      <c r="D16" s="19" t="n">
        <v>6600</v>
      </c>
      <c r="E16" s="18" t="n"/>
      <c r="F16" s="20" t="n">
        <v>0.1089108910891089</v>
      </c>
      <c r="G16" s="18" t="n"/>
      <c r="H16" s="21" t="inlineStr">
        <is>
          <t>↑ Puxa para cima</t>
        </is>
      </c>
    </row>
    <row r="17">
      <c r="A17" s="10" t="inlineStr">
        <is>
          <t>B</t>
        </is>
      </c>
      <c r="B17" s="11" t="n"/>
      <c r="C17" s="11" t="n"/>
      <c r="D17" s="15" t="n">
        <v>6000</v>
      </c>
      <c r="E17" s="11" t="n"/>
      <c r="F17" s="13" t="n">
        <v>0.1081081081081081</v>
      </c>
      <c r="G17" s="11" t="n"/>
      <c r="H17" s="16" t="inlineStr">
        <is>
          <t>↑ Puxa para cima</t>
        </is>
      </c>
    </row>
    <row r="18">
      <c r="A18" s="14" t="inlineStr">
        <is>
          <t>(outras 1 categoria(s) têm Δ médio +5400,00 p.p · sem influência dominante)</t>
        </is>
      </c>
      <c r="B18" s="4" t="n"/>
      <c r="C18" s="4" t="n"/>
      <c r="D18" s="4" t="n"/>
      <c r="E18" s="4" t="n"/>
      <c r="F18" s="4" t="n"/>
      <c r="G18" s="4" t="n"/>
      <c r="H18" s="4" t="n"/>
    </row>
    <row r="19" ht="8" customHeight="1"/>
    <row r="20" ht="22" customHeight="1">
      <c r="A20" s="3" t="inlineStr">
        <is>
          <t>Variações em destaque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7" t="inlineStr">
        <is>
          <t>Categoria</t>
        </is>
      </c>
      <c r="B21" s="8" t="inlineStr">
        <is>
          <t>Valor · Janeiro</t>
        </is>
      </c>
      <c r="C21" s="8" t="inlineStr">
        <is>
          <t>Valor · Fevereiro</t>
        </is>
      </c>
      <c r="D21" s="8" t="inlineStr">
        <is>
          <t>Variação absoluta (p.p)</t>
        </is>
      </c>
      <c r="E21" s="8" t="inlineStr">
        <is>
          <t>Variação relativa (%)</t>
        </is>
      </c>
    </row>
    <row r="22">
      <c r="A22" s="10" t="inlineStr">
        <is>
          <t>D</t>
        </is>
      </c>
      <c r="B22" s="13" t="n">
        <v>657</v>
      </c>
      <c r="C22" s="13" t="n">
        <v>729</v>
      </c>
      <c r="D22" s="15" t="n">
        <v>7200</v>
      </c>
      <c r="E22" s="13" t="n">
        <v>0.1095890410958904</v>
      </c>
    </row>
    <row r="23">
      <c r="A23" s="17" t="inlineStr">
        <is>
          <t>C</t>
        </is>
      </c>
      <c r="B23" s="20" t="n">
        <v>606</v>
      </c>
      <c r="C23" s="20" t="n">
        <v>672</v>
      </c>
      <c r="D23" s="19" t="n">
        <v>6600</v>
      </c>
      <c r="E23" s="20" t="n">
        <v>0.1089108910891089</v>
      </c>
    </row>
    <row r="24">
      <c r="A24" s="10" t="inlineStr">
        <is>
          <t>B</t>
        </is>
      </c>
      <c r="B24" s="13" t="n">
        <v>555</v>
      </c>
      <c r="C24" s="13" t="n">
        <v>615</v>
      </c>
      <c r="D24" s="15" t="n">
        <v>6000</v>
      </c>
      <c r="E24" s="13" t="n">
        <v>0.1081081081081081</v>
      </c>
    </row>
    <row r="25">
      <c r="A25" s="17" t="inlineStr">
        <is>
          <t>A</t>
        </is>
      </c>
      <c r="B25" s="20" t="n">
        <v>504</v>
      </c>
      <c r="C25" s="20" t="n">
        <v>558</v>
      </c>
      <c r="D25" s="19" t="n">
        <v>5400</v>
      </c>
      <c r="E25" s="20" t="n">
        <v>0.1071428571428571</v>
      </c>
    </row>
    <row r="26" ht="8" customHeight="1"/>
    <row r="27" ht="22" customHeight="1">
      <c r="A27" s="3" t="inlineStr">
        <is>
          <t>Leitura qualitativa</t>
        </is>
      </c>
      <c r="B27" s="4" t="n"/>
      <c r="C27" s="4" t="n"/>
      <c r="D27" s="4" t="n"/>
      <c r="E27" s="4" t="n"/>
      <c r="F27" s="4" t="n"/>
      <c r="G27" s="4" t="n"/>
      <c r="H27" s="4" t="n"/>
    </row>
    <row r="28" ht="60" customHeight="1">
      <c r="A28" s="22" t="inlineStr">
        <is>
          <t>A Média de Fevereiro ficou em 64350,00% contra 58050,00% em Janeiro, uma alta relativa de 10,85%.</t>
        </is>
      </c>
      <c r="B28" s="18" t="n"/>
      <c r="C28" s="18" t="n"/>
      <c r="D28" s="18" t="n"/>
      <c r="E28" s="18" t="n"/>
      <c r="F28" s="18" t="n"/>
      <c r="G28" s="18" t="n"/>
      <c r="H28" s="18" t="n"/>
    </row>
    <row r="29" ht="8" customHeight="1"/>
    <row r="30" ht="22" customHeight="1">
      <c r="A30" s="3" t="inlineStr">
        <is>
          <t>Qualidade estrutural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23" t="inlineStr">
        <is>
          <t>Nenhum aviso estrutural gerado · nenhum ajuste automático aplicado.</t>
        </is>
      </c>
      <c r="B31" s="18" t="n"/>
      <c r="C31" s="18" t="n"/>
      <c r="D31" s="18" t="n"/>
      <c r="E31" s="18" t="n"/>
      <c r="F31" s="18" t="n"/>
      <c r="G31" s="18" t="n"/>
      <c r="H31" s="18" t="n"/>
    </row>
    <row r="32" ht="8" customHeight="1"/>
    <row r="33" ht="22" customHeight="1">
      <c r="A33" s="3" t="inlineStr">
        <is>
          <t>Variações em destaque · gráfico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7" t="inlineStr">
        <is>
          <t>Rótulo</t>
        </is>
      </c>
      <c r="B34" s="8" t="inlineStr">
        <is>
          <t>Variação absoluta (p.p)</t>
        </is>
      </c>
    </row>
    <row r="35">
      <c r="A35" s="10" t="inlineStr">
        <is>
          <t>D</t>
        </is>
      </c>
      <c r="B35" s="15" t="n">
        <v>7200</v>
      </c>
    </row>
    <row r="36">
      <c r="A36" s="17" t="inlineStr">
        <is>
          <t>C</t>
        </is>
      </c>
      <c r="B36" s="19" t="n">
        <v>6600</v>
      </c>
    </row>
    <row r="37">
      <c r="A37" s="10" t="inlineStr">
        <is>
          <t>B</t>
        </is>
      </c>
      <c r="B37" s="15" t="n">
        <v>6000</v>
      </c>
    </row>
    <row r="38">
      <c r="A38" s="17" t="inlineStr">
        <is>
          <t>A</t>
        </is>
      </c>
      <c r="B38" s="19" t="n">
        <v>5400</v>
      </c>
    </row>
  </sheetData>
  <mergeCells count="37">
    <mergeCell ref="A30:H30"/>
    <mergeCell ref="C6:D6"/>
    <mergeCell ref="F16:G16"/>
    <mergeCell ref="C5:D5"/>
    <mergeCell ref="E5:F5"/>
    <mergeCell ref="A11:H11"/>
    <mergeCell ref="A1:H1"/>
    <mergeCell ref="A6:B6"/>
    <mergeCell ref="F15:G15"/>
    <mergeCell ref="G10:H10"/>
    <mergeCell ref="A14:C14"/>
    <mergeCell ref="A17:C17"/>
    <mergeCell ref="G6:H6"/>
    <mergeCell ref="D17:E17"/>
    <mergeCell ref="A27:H27"/>
    <mergeCell ref="F17:G17"/>
    <mergeCell ref="A18:H18"/>
    <mergeCell ref="D16:E16"/>
    <mergeCell ref="E6:F6"/>
    <mergeCell ref="A2:H2"/>
    <mergeCell ref="A5:B5"/>
    <mergeCell ref="G5:H5"/>
    <mergeCell ref="A33:H33"/>
    <mergeCell ref="A15:C15"/>
    <mergeCell ref="A8:H8"/>
    <mergeCell ref="A4:H4"/>
    <mergeCell ref="D15:E15"/>
    <mergeCell ref="A20:H20"/>
    <mergeCell ref="A10:E10"/>
    <mergeCell ref="A28:H28"/>
    <mergeCell ref="D14:E14"/>
    <mergeCell ref="A13:H13"/>
    <mergeCell ref="F14:G14"/>
    <mergeCell ref="G9:H9"/>
    <mergeCell ref="A31:H31"/>
    <mergeCell ref="A9:E9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5" customWidth="1" min="4" max="4"/>
    <col width="23" customWidth="1" min="5" max="5"/>
    <col width="25" customWidth="1" min="6" max="6"/>
    <col width="21" customWidth="1" min="7" max="7"/>
  </cols>
  <sheetData>
    <row r="1" ht="28" customHeight="1">
      <c r="A1" s="1" t="inlineStr">
        <is>
          <t>Matriz de Confronto</t>
        </is>
      </c>
    </row>
    <row r="2"/>
    <row r="3">
      <c r="A3" s="24" t="inlineStr">
        <is>
          <t>Categoria</t>
        </is>
      </c>
      <c r="B3" s="24" t="inlineStr">
        <is>
          <t>Valor · Janeiro</t>
        </is>
      </c>
      <c r="C3" s="24" t="inlineStr">
        <is>
          <t>Valor · Fevereiro</t>
        </is>
      </c>
      <c r="D3" s="24" t="inlineStr">
        <is>
          <t>Variação absoluta (p.p)</t>
        </is>
      </c>
      <c r="E3" s="24" t="inlineStr">
        <is>
          <t>Variação relativa (%)</t>
        </is>
      </c>
      <c r="F3" s="24" t="inlineStr">
        <is>
          <t>Situação estrutural</t>
        </is>
      </c>
      <c r="G3" s="24" t="inlineStr">
        <is>
          <t>Leitura qualitativa</t>
        </is>
      </c>
    </row>
    <row r="4">
      <c r="A4" t="inlineStr">
        <is>
          <t>A</t>
        </is>
      </c>
      <c r="B4" s="25" t="n">
        <v>504</v>
      </c>
      <c r="C4" s="25" t="n">
        <v>558</v>
      </c>
      <c r="D4" s="26" t="n">
        <v>5400</v>
      </c>
      <c r="E4" s="25" t="n">
        <v>0.1071428571428571</v>
      </c>
      <c r="F4" s="27" t="inlineStr">
        <is>
          <t>Presente nos dois lados</t>
        </is>
      </c>
      <c r="G4" s="28" t="inlineStr">
        <is>
          <t>Melhorou</t>
        </is>
      </c>
    </row>
    <row r="5">
      <c r="A5" t="inlineStr">
        <is>
          <t>B</t>
        </is>
      </c>
      <c r="B5" s="25" t="n">
        <v>555</v>
      </c>
      <c r="C5" s="25" t="n">
        <v>615</v>
      </c>
      <c r="D5" s="26" t="n">
        <v>6000</v>
      </c>
      <c r="E5" s="25" t="n">
        <v>0.1081081081081081</v>
      </c>
      <c r="F5" s="27" t="inlineStr">
        <is>
          <t>Presente nos dois lados</t>
        </is>
      </c>
      <c r="G5" s="28" t="inlineStr">
        <is>
          <t>Melhorou</t>
        </is>
      </c>
    </row>
    <row r="6">
      <c r="A6" t="inlineStr">
        <is>
          <t>C</t>
        </is>
      </c>
      <c r="B6" s="25" t="n">
        <v>606</v>
      </c>
      <c r="C6" s="25" t="n">
        <v>672</v>
      </c>
      <c r="D6" s="26" t="n">
        <v>6600</v>
      </c>
      <c r="E6" s="25" t="n">
        <v>0.1089108910891089</v>
      </c>
      <c r="F6" s="27" t="inlineStr">
        <is>
          <t>Presente nos dois lados</t>
        </is>
      </c>
      <c r="G6" s="28" t="inlineStr">
        <is>
          <t>Melhorou</t>
        </is>
      </c>
    </row>
    <row r="7">
      <c r="A7" t="inlineStr">
        <is>
          <t>D</t>
        </is>
      </c>
      <c r="B7" s="25" t="n">
        <v>657</v>
      </c>
      <c r="C7" s="25" t="n">
        <v>729</v>
      </c>
      <c r="D7" s="26" t="n">
        <v>7200</v>
      </c>
      <c r="E7" s="25" t="n">
        <v>0.1095890410958904</v>
      </c>
      <c r="F7" s="27" t="inlineStr">
        <is>
          <t>Presente nos dois lados</t>
        </is>
      </c>
      <c r="G7" s="28" t="inlineStr">
        <is>
          <t>Melhorou</t>
        </is>
      </c>
    </row>
    <row r="8">
      <c r="B8" s="25">
        <f>SUBTOTAL(109,B4:B7)</f>
        <v/>
      </c>
      <c r="C8" s="25">
        <f>SUBTOTAL(109,C4:C7)</f>
        <v/>
      </c>
      <c r="D8" s="26">
        <f>SUBTOTAL(109,D4:D7)</f>
        <v/>
      </c>
      <c r="E8" s="25">
        <f>SUBTOTAL(101,E4:E7)</f>
        <v/>
      </c>
    </row>
  </sheetData>
  <mergeCells count="1">
    <mergeCell ref="A1:G1"/>
  </mergeCells>
  <conditionalFormatting sqref="D4:D7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E4:E7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5" customWidth="1" min="4" max="4"/>
    <col width="23" customWidth="1" min="5" max="5"/>
    <col width="25" customWidth="1" min="6" max="6"/>
    <col width="21" customWidth="1" min="7" max="7"/>
    <col width="13" customWidth="1" min="8" max="8"/>
  </cols>
  <sheetData>
    <row r="1" ht="28" customHeight="1">
      <c r="A1" s="1" t="inlineStr">
        <is>
          <t>Base Analítica</t>
        </is>
      </c>
    </row>
    <row r="2"/>
    <row r="3">
      <c r="A3" s="24" t="inlineStr">
        <is>
          <t>Categoria</t>
        </is>
      </c>
      <c r="B3" s="24" t="inlineStr">
        <is>
          <t>Valor · Janeiro</t>
        </is>
      </c>
      <c r="C3" s="24" t="inlineStr">
        <is>
          <t>Valor · Fevereiro</t>
        </is>
      </c>
      <c r="D3" s="24" t="inlineStr">
        <is>
          <t>Variação absoluta (p.p)</t>
        </is>
      </c>
      <c r="E3" s="24" t="inlineStr">
        <is>
          <t>Variação relativa (%)</t>
        </is>
      </c>
      <c r="F3" s="24" t="inlineStr">
        <is>
          <t>Situação estrutural</t>
        </is>
      </c>
      <c r="G3" s="24" t="inlineStr">
        <is>
          <t>Leitura qualitativa</t>
        </is>
      </c>
      <c r="H3" s="24" t="inlineStr">
        <is>
          <t>Observações</t>
        </is>
      </c>
    </row>
    <row r="4">
      <c r="A4" t="inlineStr">
        <is>
          <t>A</t>
        </is>
      </c>
      <c r="B4" s="25" t="n">
        <v>504</v>
      </c>
      <c r="C4" s="25" t="n">
        <v>558</v>
      </c>
      <c r="D4" s="26" t="n">
        <v>5400</v>
      </c>
      <c r="E4" s="25" t="n">
        <v>0.1071428571428571</v>
      </c>
      <c r="F4" s="27" t="inlineStr">
        <is>
          <t>Presente nos dois lados</t>
        </is>
      </c>
      <c r="G4" s="28" t="inlineStr">
        <is>
          <t>Melhorou</t>
        </is>
      </c>
      <c r="H4" s="29" t="inlineStr">
        <is>
          <t>—</t>
        </is>
      </c>
    </row>
    <row r="5">
      <c r="A5" t="inlineStr">
        <is>
          <t>B</t>
        </is>
      </c>
      <c r="B5" s="25" t="n">
        <v>555</v>
      </c>
      <c r="C5" s="25" t="n">
        <v>615</v>
      </c>
      <c r="D5" s="26" t="n">
        <v>6000</v>
      </c>
      <c r="E5" s="25" t="n">
        <v>0.1081081081081081</v>
      </c>
      <c r="F5" s="27" t="inlineStr">
        <is>
          <t>Presente nos dois lados</t>
        </is>
      </c>
      <c r="G5" s="28" t="inlineStr">
        <is>
          <t>Melhorou</t>
        </is>
      </c>
      <c r="H5" s="29" t="inlineStr">
        <is>
          <t>—</t>
        </is>
      </c>
    </row>
    <row r="6">
      <c r="A6" t="inlineStr">
        <is>
          <t>C</t>
        </is>
      </c>
      <c r="B6" s="25" t="n">
        <v>606</v>
      </c>
      <c r="C6" s="25" t="n">
        <v>672</v>
      </c>
      <c r="D6" s="26" t="n">
        <v>6600</v>
      </c>
      <c r="E6" s="25" t="n">
        <v>0.1089108910891089</v>
      </c>
      <c r="F6" s="27" t="inlineStr">
        <is>
          <t>Presente nos dois lados</t>
        </is>
      </c>
      <c r="G6" s="28" t="inlineStr">
        <is>
          <t>Melhorou</t>
        </is>
      </c>
      <c r="H6" s="29" t="inlineStr">
        <is>
          <t>—</t>
        </is>
      </c>
    </row>
    <row r="7">
      <c r="A7" t="inlineStr">
        <is>
          <t>D</t>
        </is>
      </c>
      <c r="B7" s="25" t="n">
        <v>657</v>
      </c>
      <c r="C7" s="25" t="n">
        <v>729</v>
      </c>
      <c r="D7" s="26" t="n">
        <v>7200</v>
      </c>
      <c r="E7" s="25" t="n">
        <v>0.1095890410958904</v>
      </c>
      <c r="F7" s="27" t="inlineStr">
        <is>
          <t>Presente nos dois lados</t>
        </is>
      </c>
      <c r="G7" s="28" t="inlineStr">
        <is>
          <t>Melhorou</t>
        </is>
      </c>
      <c r="H7" s="29" t="inlineStr">
        <is>
          <t>—</t>
        </is>
      </c>
    </row>
    <row r="8">
      <c r="B8" s="25">
        <f>SUBTOTAL(109,B4:B7)</f>
        <v/>
      </c>
      <c r="C8" s="25">
        <f>SUBTOTAL(109,C4:C7)</f>
        <v/>
      </c>
      <c r="D8" s="26">
        <f>SUBTOTAL(109,D4:D7)</f>
        <v/>
      </c>
      <c r="E8" s="25">
        <f>SUBTOTAL(101,E4:E7)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0" t="inlineStr">
        <is>
          <t>Arquivo</t>
        </is>
      </c>
      <c r="B4" s="31" t="inlineStr">
        <is>
          <t>—</t>
        </is>
      </c>
      <c r="C4" s="11" t="n"/>
      <c r="D4" s="11" t="n"/>
    </row>
    <row r="5">
      <c r="A5" s="32" t="inlineStr">
        <is>
          <t>Aba consumida</t>
        </is>
      </c>
      <c r="B5" s="23" t="inlineStr">
        <is>
          <t>—</t>
        </is>
      </c>
      <c r="C5" s="18" t="n"/>
      <c r="D5" s="18" t="n"/>
    </row>
    <row r="6">
      <c r="A6" s="30" t="inlineStr">
        <is>
          <t>Modo da base</t>
        </is>
      </c>
      <c r="B6" s="31" t="inlineStr">
        <is>
          <t>Dois lados em colunas distintas</t>
        </is>
      </c>
      <c r="C6" s="11" t="n"/>
      <c r="D6" s="11" t="n"/>
    </row>
    <row r="7">
      <c r="A7" s="32" t="inlineStr">
        <is>
          <t>Agrupadores aplicados</t>
        </is>
      </c>
      <c r="B7" s="23" t="inlineStr">
        <is>
          <t>Categoria</t>
        </is>
      </c>
      <c r="C7" s="18" t="n"/>
      <c r="D7" s="18" t="n"/>
    </row>
    <row r="8">
      <c r="A8" s="30" t="inlineStr">
        <is>
          <t>Campo analisado</t>
        </is>
      </c>
      <c r="B8" s="31" t="inlineStr">
        <is>
          <t>Receita</t>
        </is>
      </c>
      <c r="C8" s="11" t="n"/>
      <c r="D8" s="11" t="n"/>
    </row>
    <row r="9">
      <c r="A9" s="32" t="inlineStr">
        <is>
          <t>Tipo de medida</t>
        </is>
      </c>
      <c r="B9" s="23" t="inlineStr">
        <is>
          <t>Valor somável</t>
        </is>
      </c>
      <c r="C9" s="18" t="n"/>
      <c r="D9" s="18" t="n"/>
    </row>
    <row r="10">
      <c r="A10" s="30" t="inlineStr">
        <is>
          <t>Coluna origem</t>
        </is>
      </c>
      <c r="B10" s="31" t="inlineStr">
        <is>
          <t>Janeiro</t>
        </is>
      </c>
      <c r="C10" s="11" t="n"/>
      <c r="D10" s="11" t="n"/>
    </row>
    <row r="11">
      <c r="A11" s="32" t="inlineStr">
        <is>
          <t>Coluna comparado</t>
        </is>
      </c>
      <c r="B11" s="23" t="inlineStr">
        <is>
          <t>Fevereiro</t>
        </is>
      </c>
      <c r="C11" s="18" t="n"/>
      <c r="D11" s="18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3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3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3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0" t="inlineStr">
        <is>
          <t>Paleta selecionada</t>
        </is>
      </c>
      <c r="B23" s="31" t="inlineStr">
        <is>
          <t>Azul executivo</t>
        </is>
      </c>
      <c r="C23" s="11" t="n"/>
      <c r="D23" s="11" t="n"/>
    </row>
    <row r="24">
      <c r="A24" s="32" t="inlineStr">
        <is>
          <t>Limite de estabilidade</t>
        </is>
      </c>
      <c r="B24" s="23" t="inlineStr">
        <is>
          <t>1,00%</t>
        </is>
      </c>
      <c r="C24" s="18" t="n"/>
      <c r="D24" s="18" t="n"/>
    </row>
    <row r="25">
      <c r="A25" s="30" t="inlineStr">
        <is>
          <t>Limite de nulos massivos</t>
        </is>
      </c>
      <c r="B25" s="31" t="inlineStr">
        <is>
          <t>20,00%</t>
        </is>
      </c>
      <c r="C25" s="11" t="n"/>
      <c r="D25" s="11" t="n"/>
    </row>
    <row r="26">
      <c r="A26" s="32" t="inlineStr">
        <is>
          <t>Limite de valores na coluna de comparação</t>
        </is>
      </c>
      <c r="B26" s="23" t="inlineStr">
        <is>
          <t>50</t>
        </is>
      </c>
      <c r="C26" s="18" t="n"/>
      <c r="D26" s="18" t="n"/>
    </row>
    <row r="27">
      <c r="A27" s="30" t="inlineStr">
        <is>
          <t>Limite de variação extrema</t>
        </is>
      </c>
      <c r="B27" s="3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0" t="inlineStr">
        <is>
          <t>Total de avisos</t>
        </is>
      </c>
      <c r="B30" s="31" t="inlineStr">
        <is>
          <t>0</t>
        </is>
      </c>
      <c r="C30" s="11" t="n"/>
      <c r="D30" s="11" t="n"/>
    </row>
    <row r="31">
      <c r="A31" s="32" t="inlineStr">
        <is>
          <t>Bloqueios escapados</t>
        </is>
      </c>
      <c r="B31" s="23" t="inlineStr">
        <is>
          <t>Não</t>
        </is>
      </c>
      <c r="C31" s="18" t="n"/>
      <c r="D31" s="18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2026-04-26T20:31:12Z</dcterms:created>
  <dcterms:modified xsi:type="dcterms:W3CDTF">2026-04-26T20:31:12Z</dcterms:modified>
</cp:coreProperties>
</file>