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Executivo" sheetId="1" state="visible" r:id="rId1"/>
    <sheet name="Matriz de Confronto" sheetId="2" state="visible" r:id="rId2"/>
    <sheet name="Base Analítica" sheetId="3" state="visible" r:id="rId3"/>
    <sheet name="Diagnóstic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[Red]-#,##0;-"/>
    <numFmt numFmtId="165" formatCode="0.00%;[Red]-0.00%;-"/>
    <numFmt numFmtId="166" formatCode="0.00&quot;x&quot;;[Red]-0.00&quot;x&quot;;-"/>
  </numFmts>
  <fonts count="10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2F2F2F"/>
      <sz val="9"/>
    </font>
    <font>
      <name val="Calibri"/>
      <b val="1"/>
      <color rgb="00FFFFFF"/>
      <sz val="12"/>
    </font>
    <font>
      <name val="Calibri"/>
      <color rgb="002F2F2F"/>
      <sz val="9"/>
    </font>
    <font>
      <name val="Calibri"/>
      <b val="1"/>
      <color rgb="001F4E79"/>
      <sz val="16"/>
    </font>
    <font>
      <name val="Calibri"/>
      <b val="1"/>
      <color rgb="000B2D4C"/>
      <sz val="11"/>
    </font>
    <font>
      <name val="Calibri"/>
      <color rgb="002F2F2F"/>
      <sz val="11"/>
    </font>
    <font>
      <name val="Calibri"/>
      <b val="1"/>
      <color rgb="002F2F2F"/>
      <sz val="11"/>
    </font>
    <font>
      <name val="Calibri"/>
      <b val="1"/>
      <color rgb="001E6E3B"/>
      <sz val="1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EDF3F9"/>
        <bgColor rgb="00EDF3F9"/>
      </patternFill>
    </fill>
    <fill>
      <patternFill patternType="solid">
        <fgColor rgb="00D8E8F5"/>
        <bgColor rgb="00D8E8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indent="1"/>
    </xf>
    <xf numFmtId="0" fontId="6" fillId="3" borderId="1" applyAlignment="1" pivotButton="0" quotePrefix="0" xfId="0">
      <alignment horizontal="right" vertical="center" indent="1"/>
    </xf>
    <xf numFmtId="0" fontId="6" fillId="3" borderId="1" applyAlignment="1" pivotButton="0" quotePrefix="0" xfId="0">
      <alignment horizontal="center" vertical="center" indent="1"/>
    </xf>
    <xf numFmtId="0" fontId="7" fillId="3" borderId="1" applyAlignment="1" pivotButton="0" quotePrefix="0" xfId="0">
      <alignment horizontal="left" vertical="center" indent="1"/>
    </xf>
    <xf numFmtId="0" fontId="0" fillId="3" borderId="1" pivotButton="0" quotePrefix="0" xfId="0"/>
    <xf numFmtId="164" fontId="7" fillId="3" borderId="1" applyAlignment="1" pivotButton="0" quotePrefix="0" xfId="0">
      <alignment horizontal="center" vertical="center"/>
    </xf>
    <xf numFmtId="165" fontId="7" fillId="3" borderId="1" applyAlignment="1" pivotButton="0" quotePrefix="0" xfId="0">
      <alignment horizontal="right" vertical="center" indent="1"/>
    </xf>
    <xf numFmtId="166" fontId="7" fillId="3" borderId="1" applyAlignment="1" pivotButton="0" quotePrefix="0" xfId="0">
      <alignment horizontal="right" vertical="center" indent="1"/>
    </xf>
    <xf numFmtId="0" fontId="2" fillId="4" borderId="1" applyAlignment="1" pivotButton="0" quotePrefix="0" xfId="0">
      <alignment horizontal="left" vertical="center" indent="1"/>
    </xf>
    <xf numFmtId="0" fontId="7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 indent="1"/>
    </xf>
    <xf numFmtId="0" fontId="0" fillId="4" borderId="1" pivotButton="0" quotePrefix="0" xfId="0"/>
    <xf numFmtId="166" fontId="7" fillId="4" borderId="1" applyAlignment="1" pivotButton="0" quotePrefix="0" xfId="0">
      <alignment horizontal="right" vertical="center" indent="1"/>
    </xf>
    <xf numFmtId="165" fontId="7" fillId="4" borderId="1" applyAlignment="1" pivotButton="0" quotePrefix="0" xfId="0">
      <alignment horizontal="right" vertical="center" indent="1"/>
    </xf>
    <xf numFmtId="0" fontId="7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top" wrapText="1" indent="1"/>
    </xf>
    <xf numFmtId="0" fontId="7" fillId="4" borderId="1" applyAlignment="1" pivotButton="0" quotePrefix="0" xfId="0">
      <alignment horizontal="left" vertical="center" wrapText="1" indent="1"/>
    </xf>
    <xf numFmtId="0" fontId="8" fillId="0" borderId="0" applyAlignment="1" pivotButton="0" quotePrefix="0" xfId="0">
      <alignment horizontal="left" vertical="center" wrapText="1"/>
    </xf>
    <xf numFmtId="166" fontId="0" fillId="0" borderId="0" pivotButton="0" quotePrefix="0" xfId="0"/>
    <xf numFmtId="165" fontId="0" fillId="0" borderId="0" pivotButton="0" quotePrefix="0" xfId="0"/>
    <xf numFmtId="0" fontId="8" fillId="5" borderId="0" pivotButton="0" quotePrefix="0" xfId="0"/>
    <xf numFmtId="0" fontId="9" fillId="6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indent="1"/>
    </xf>
    <xf numFmtId="0" fontId="7" fillId="3" borderId="1" applyAlignment="1" pivotButton="0" quotePrefix="0" xfId="0">
      <alignment horizontal="left" vertical="center" wrapText="1" indent="1"/>
    </xf>
    <xf numFmtId="0" fontId="8" fillId="4" borderId="1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Variações em destaque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'Resumo Executivo'!B34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5B9E5B"/>
              </a:solidFill>
              <a:ln>
                <a:prstDash val="solid"/>
              </a:ln>
            </spPr>
          </dPt>
          <dPt>
            <idx val="1"/>
            <spPr>
              <a:solidFill>
                <a:srgbClr val="5B9E5B"/>
              </a:solidFill>
              <a:ln>
                <a:prstDash val="solid"/>
              </a:ln>
            </spPr>
          </dPt>
          <dPt>
            <idx val="2"/>
            <spPr>
              <a:solidFill>
                <a:srgbClr val="5B9E5B"/>
              </a:solidFill>
              <a:ln>
                <a:prstDash val="solid"/>
              </a:ln>
            </spPr>
          </dPt>
          <dPt>
            <idx val="3"/>
            <spPr>
              <a:solidFill>
                <a:srgbClr val="5B9E5B"/>
              </a:solidFill>
              <a:ln>
                <a:prstDash val="solid"/>
              </a:ln>
            </spPr>
          </dPt>
          <cat>
            <numRef>
              <f>'Resumo Executivo'!$A$35:$A$38</f>
            </numRef>
          </cat>
          <val>
            <numRef>
              <f>'Resumo Executivo'!$B$35:$B$38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numFmt formatCode="0.0&quot;x&quot;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out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33</row>
      <rowOff>0</rowOff>
    </from>
    <ext cx="792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MatrizConfrontoV2" displayName="TMatrizConfrontoV2" ref="A3:G8" headerRowCount="1" totalsRowCount="1" totalsRowShown="1">
  <autoFilter ref="A3:G7"/>
  <tableColumns count="7">
    <tableColumn id="1" name="Categoria"/>
    <tableColumn id="2" name="Valor · Janeiro" totalsRowFunction="sum"/>
    <tableColumn id="3" name="Valor · Fevereiro" totalsRowFunction="sum"/>
    <tableColumn id="4" name="Diferença" totalsRowFunction="sum"/>
    <tableColumn id="5" name="Variação %" totalsRowFunction="average"/>
    <tableColumn id="6" name="Situação estrutural"/>
    <tableColumn id="7" name="Leitura qualitativ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aseAnaliticaV2" displayName="TBaseAnaliticaV2" ref="A3:H8" headerRowCount="1" totalsRowCount="1" totalsRowShown="1">
  <autoFilter ref="A3:H7"/>
  <tableColumns count="8">
    <tableColumn id="1" name="Categoria"/>
    <tableColumn id="2" name="Valor · Janeiro" totalsRowFunction="sum"/>
    <tableColumn id="3" name="Valor · Fevereiro" totalsRowFunction="sum"/>
    <tableColumn id="4" name="Diferença" totalsRowFunction="sum"/>
    <tableColumn id="5" name="Variação %" totalsRowFunction="average"/>
    <tableColumn id="6" name="Situação estrutural"/>
    <tableColumn id="7" name="Leitura qualitativa"/>
    <tableColumn id="8" name="Observaçõ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9" customWidth="1" min="3" max="3"/>
    <col width="12" customWidth="1" min="4" max="4"/>
    <col width="21" customWidth="1" min="5" max="5"/>
    <col width="18" customWidth="1" min="8" max="8"/>
  </cols>
  <sheetData>
    <row r="1" ht="28" customHeight="1">
      <c r="A1" s="1" t="inlineStr">
        <is>
          <t>Análise comparativa · Janeiro × Fevereiro</t>
        </is>
      </c>
    </row>
    <row r="2">
      <c r="A2" s="2" t="inlineStr">
        <is>
          <t>Gerado em 26/04/2026 às 17:31</t>
        </is>
      </c>
    </row>
    <row r="3"/>
    <row r="4" ht="22" customHeight="1">
      <c r="A4" s="3" t="inlineStr">
        <is>
          <t>Números principais</t>
        </is>
      </c>
      <c r="B4" s="4" t="n"/>
      <c r="C4" s="4" t="n"/>
      <c r="D4" s="4" t="n"/>
      <c r="E4" s="4" t="n"/>
      <c r="F4" s="4" t="n"/>
      <c r="G4" s="4" t="n"/>
      <c r="H4" s="4" t="n"/>
    </row>
    <row r="5" ht="22" customHeight="1">
      <c r="A5" s="5" t="inlineStr">
        <is>
          <t>Total · Janeiro</t>
        </is>
      </c>
      <c r="B5" s="4" t="n"/>
      <c r="C5" s="5" t="inlineStr">
        <is>
          <t>Total · Fevereiro</t>
        </is>
      </c>
      <c r="D5" s="4" t="n"/>
      <c r="E5" s="5" t="inlineStr">
        <is>
          <t>Diferença</t>
        </is>
      </c>
      <c r="F5" s="4" t="n"/>
      <c r="G5" s="5" t="inlineStr">
        <is>
          <t>Variação %</t>
        </is>
      </c>
      <c r="H5" s="4" t="n"/>
    </row>
    <row r="6" ht="32" customHeight="1">
      <c r="A6" s="6" t="inlineStr">
        <is>
          <t>2322,00x</t>
        </is>
      </c>
      <c r="B6" s="4" t="n"/>
      <c r="C6" s="6" t="inlineStr">
        <is>
          <t>2574,00x</t>
        </is>
      </c>
      <c r="D6" s="4" t="n"/>
      <c r="E6" s="6" t="inlineStr">
        <is>
          <t>252,00x</t>
        </is>
      </c>
      <c r="F6" s="4" t="n"/>
      <c r="G6" s="6" t="inlineStr">
        <is>
          <t>10,85%</t>
        </is>
      </c>
      <c r="H6" s="4" t="n"/>
    </row>
    <row r="7" ht="8" customHeight="1"/>
    <row r="8" ht="22" customHeight="1">
      <c r="A8" s="3" t="inlineStr">
        <is>
          <t>Saúde da comparação</t>
        </is>
      </c>
      <c r="B8" s="4" t="n"/>
      <c r="C8" s="4" t="n"/>
      <c r="D8" s="4" t="n"/>
      <c r="E8" s="4" t="n"/>
      <c r="F8" s="4" t="n"/>
      <c r="G8" s="4" t="n"/>
      <c r="H8" s="4" t="n"/>
    </row>
    <row r="9">
      <c r="A9" s="7" t="inlineStr">
        <is>
          <t>Categoria</t>
        </is>
      </c>
      <c r="B9" s="8" t="n"/>
      <c r="C9" s="8" t="n"/>
      <c r="D9" s="9" t="inlineStr">
        <is>
          <t>Casos</t>
        </is>
      </c>
      <c r="E9" s="8" t="inlineStr">
        <is>
          <t>Participação</t>
        </is>
      </c>
      <c r="F9" s="8" t="n"/>
      <c r="G9" s="8" t="inlineStr">
        <is>
          <t>Δ total</t>
        </is>
      </c>
      <c r="H9" s="8" t="n"/>
    </row>
    <row r="10">
      <c r="A10" s="10" t="inlineStr">
        <is>
          <t>Melhorou</t>
        </is>
      </c>
      <c r="B10" s="11" t="n"/>
      <c r="C10" s="11" t="n"/>
      <c r="D10" s="12" t="n">
        <v>4</v>
      </c>
      <c r="E10" s="13" t="n">
        <v>1</v>
      </c>
      <c r="F10" s="11" t="n"/>
      <c r="G10" s="14" t="n">
        <v>252</v>
      </c>
      <c r="H10" s="11" t="n"/>
    </row>
    <row r="11">
      <c r="A11" s="15" t="inlineStr">
        <is>
          <t>Total comparado: 4 casos · Não comparáveis: 0 casos</t>
        </is>
      </c>
      <c r="B11" s="4" t="n"/>
      <c r="C11" s="4" t="n"/>
      <c r="D11" s="4" t="n"/>
      <c r="E11" s="4" t="n"/>
      <c r="F11" s="4" t="n"/>
      <c r="G11" s="4" t="n"/>
      <c r="H11" s="4" t="n"/>
    </row>
    <row r="12" ht="8" customHeight="1"/>
    <row r="13" ht="22" customHeight="1">
      <c r="A13" s="3" t="inlineStr">
        <is>
          <t>Onde se concentra · por Categoria</t>
        </is>
      </c>
      <c r="B13" s="4" t="n"/>
      <c r="C13" s="4" t="n"/>
      <c r="D13" s="4" t="n"/>
      <c r="E13" s="4" t="n"/>
      <c r="F13" s="4" t="n"/>
      <c r="G13" s="4" t="n"/>
      <c r="H13" s="4" t="n"/>
    </row>
    <row r="14">
      <c r="A14" s="7" t="inlineStr">
        <is>
          <t>Categoria</t>
        </is>
      </c>
      <c r="B14" s="7" t="n"/>
      <c r="C14" s="7" t="n"/>
      <c r="D14" s="8" t="inlineStr">
        <is>
          <t>Diferença</t>
        </is>
      </c>
      <c r="E14" s="8" t="n"/>
      <c r="F14" s="8" t="inlineStr">
        <is>
          <t>Variação %</t>
        </is>
      </c>
      <c r="G14" s="8" t="n"/>
      <c r="H14" s="9" t="inlineStr">
        <is>
          <t>Direção</t>
        </is>
      </c>
    </row>
    <row r="15">
      <c r="A15" s="10" t="inlineStr">
        <is>
          <t>D</t>
        </is>
      </c>
      <c r="B15" s="11" t="n"/>
      <c r="C15" s="11" t="n"/>
      <c r="D15" s="14" t="n">
        <v>72</v>
      </c>
      <c r="E15" s="11" t="n"/>
      <c r="F15" s="13" t="n">
        <v>0.1095890410958904</v>
      </c>
      <c r="G15" s="11" t="n"/>
      <c r="H15" s="16" t="inlineStr">
        <is>
          <t>↑ Puxa para cima</t>
        </is>
      </c>
    </row>
    <row r="16">
      <c r="A16" s="17" t="inlineStr">
        <is>
          <t>C</t>
        </is>
      </c>
      <c r="B16" s="18" t="n"/>
      <c r="C16" s="18" t="n"/>
      <c r="D16" s="19" t="n">
        <v>66</v>
      </c>
      <c r="E16" s="18" t="n"/>
      <c r="F16" s="20" t="n">
        <v>0.1089108910891089</v>
      </c>
      <c r="G16" s="18" t="n"/>
      <c r="H16" s="21" t="inlineStr">
        <is>
          <t>↑ Puxa para cima</t>
        </is>
      </c>
    </row>
    <row r="17">
      <c r="A17" s="10" t="inlineStr">
        <is>
          <t>B</t>
        </is>
      </c>
      <c r="B17" s="11" t="n"/>
      <c r="C17" s="11" t="n"/>
      <c r="D17" s="14" t="n">
        <v>60</v>
      </c>
      <c r="E17" s="11" t="n"/>
      <c r="F17" s="13" t="n">
        <v>0.1081081081081081</v>
      </c>
      <c r="G17" s="11" t="n"/>
      <c r="H17" s="16" t="inlineStr">
        <is>
          <t>↑ Puxa para cima</t>
        </is>
      </c>
    </row>
    <row r="18">
      <c r="A18" s="15" t="inlineStr">
        <is>
          <t>(outras 1 categoria(s) somam Δ 54,00x · sem influência dominante)</t>
        </is>
      </c>
      <c r="B18" s="4" t="n"/>
      <c r="C18" s="4" t="n"/>
      <c r="D18" s="4" t="n"/>
      <c r="E18" s="4" t="n"/>
      <c r="F18" s="4" t="n"/>
      <c r="G18" s="4" t="n"/>
      <c r="H18" s="4" t="n"/>
    </row>
    <row r="19" ht="8" customHeight="1"/>
    <row r="20" ht="22" customHeight="1">
      <c r="A20" s="3" t="inlineStr">
        <is>
          <t>Variações em destaque</t>
        </is>
      </c>
      <c r="B20" s="4" t="n"/>
      <c r="C20" s="4" t="n"/>
      <c r="D20" s="4" t="n"/>
      <c r="E20" s="4" t="n"/>
      <c r="F20" s="4" t="n"/>
      <c r="G20" s="4" t="n"/>
      <c r="H20" s="4" t="n"/>
    </row>
    <row r="21">
      <c r="A21" s="7" t="inlineStr">
        <is>
          <t>Categoria</t>
        </is>
      </c>
      <c r="B21" s="8" t="inlineStr">
        <is>
          <t>Valor · Janeiro</t>
        </is>
      </c>
      <c r="C21" s="8" t="inlineStr">
        <is>
          <t>Valor · Fevereiro</t>
        </is>
      </c>
      <c r="D21" s="8" t="inlineStr">
        <is>
          <t>Diferença</t>
        </is>
      </c>
      <c r="E21" s="8" t="inlineStr">
        <is>
          <t>Variação %</t>
        </is>
      </c>
    </row>
    <row r="22">
      <c r="A22" s="10" t="inlineStr">
        <is>
          <t>D</t>
        </is>
      </c>
      <c r="B22" s="14" t="n">
        <v>657</v>
      </c>
      <c r="C22" s="14" t="n">
        <v>729</v>
      </c>
      <c r="D22" s="14" t="n">
        <v>72</v>
      </c>
      <c r="E22" s="13" t="n">
        <v>0.1095890410958904</v>
      </c>
    </row>
    <row r="23">
      <c r="A23" s="17" t="inlineStr">
        <is>
          <t>C</t>
        </is>
      </c>
      <c r="B23" s="19" t="n">
        <v>606</v>
      </c>
      <c r="C23" s="19" t="n">
        <v>672</v>
      </c>
      <c r="D23" s="19" t="n">
        <v>66</v>
      </c>
      <c r="E23" s="20" t="n">
        <v>0.1089108910891089</v>
      </c>
    </row>
    <row r="24">
      <c r="A24" s="10" t="inlineStr">
        <is>
          <t>B</t>
        </is>
      </c>
      <c r="B24" s="14" t="n">
        <v>555</v>
      </c>
      <c r="C24" s="14" t="n">
        <v>615</v>
      </c>
      <c r="D24" s="14" t="n">
        <v>60</v>
      </c>
      <c r="E24" s="13" t="n">
        <v>0.1081081081081081</v>
      </c>
    </row>
    <row r="25">
      <c r="A25" s="17" t="inlineStr">
        <is>
          <t>A</t>
        </is>
      </c>
      <c r="B25" s="19" t="n">
        <v>504</v>
      </c>
      <c r="C25" s="19" t="n">
        <v>558</v>
      </c>
      <c r="D25" s="19" t="n">
        <v>54</v>
      </c>
      <c r="E25" s="20" t="n">
        <v>0.1071428571428571</v>
      </c>
    </row>
    <row r="26" ht="8" customHeight="1"/>
    <row r="27" ht="22" customHeight="1">
      <c r="A27" s="3" t="inlineStr">
        <is>
          <t>Leitura qualitativa</t>
        </is>
      </c>
      <c r="B27" s="4" t="n"/>
      <c r="C27" s="4" t="n"/>
      <c r="D27" s="4" t="n"/>
      <c r="E27" s="4" t="n"/>
      <c r="F27" s="4" t="n"/>
      <c r="G27" s="4" t="n"/>
      <c r="H27" s="4" t="n"/>
    </row>
    <row r="28" ht="60" customHeight="1">
      <c r="A28" s="22" t="inlineStr">
        <is>
          <t>O Fevereiro superou do Janeiro em 10,85% no agregado (252,00x).</t>
        </is>
      </c>
      <c r="B28" s="18" t="n"/>
      <c r="C28" s="18" t="n"/>
      <c r="D28" s="18" t="n"/>
      <c r="E28" s="18" t="n"/>
      <c r="F28" s="18" t="n"/>
      <c r="G28" s="18" t="n"/>
      <c r="H28" s="18" t="n"/>
    </row>
    <row r="29" ht="8" customHeight="1"/>
    <row r="30" ht="22" customHeight="1">
      <c r="A30" s="3" t="inlineStr">
        <is>
          <t>Qualidade estrutural</t>
        </is>
      </c>
      <c r="B30" s="4" t="n"/>
      <c r="C30" s="4" t="n"/>
      <c r="D30" s="4" t="n"/>
      <c r="E30" s="4" t="n"/>
      <c r="F30" s="4" t="n"/>
      <c r="G30" s="4" t="n"/>
      <c r="H30" s="4" t="n"/>
    </row>
    <row r="31">
      <c r="A31" s="23" t="inlineStr">
        <is>
          <t>Nenhum aviso estrutural gerado · nenhum ajuste automático aplicado.</t>
        </is>
      </c>
      <c r="B31" s="18" t="n"/>
      <c r="C31" s="18" t="n"/>
      <c r="D31" s="18" t="n"/>
      <c r="E31" s="18" t="n"/>
      <c r="F31" s="18" t="n"/>
      <c r="G31" s="18" t="n"/>
      <c r="H31" s="18" t="n"/>
    </row>
    <row r="32" ht="8" customHeight="1"/>
    <row r="33" ht="22" customHeight="1">
      <c r="A33" s="3" t="inlineStr">
        <is>
          <t>Variações em destaque · gráfico</t>
        </is>
      </c>
      <c r="B33" s="4" t="n"/>
      <c r="C33" s="4" t="n"/>
      <c r="D33" s="4" t="n"/>
      <c r="E33" s="4" t="n"/>
      <c r="F33" s="4" t="n"/>
      <c r="G33" s="4" t="n"/>
      <c r="H33" s="4" t="n"/>
    </row>
    <row r="34">
      <c r="A34" s="7" t="inlineStr">
        <is>
          <t>Rótulo</t>
        </is>
      </c>
      <c r="B34" s="8" t="inlineStr">
        <is>
          <t>Diferença</t>
        </is>
      </c>
    </row>
    <row r="35">
      <c r="A35" s="10" t="inlineStr">
        <is>
          <t>D</t>
        </is>
      </c>
      <c r="B35" s="14" t="n">
        <v>72</v>
      </c>
    </row>
    <row r="36">
      <c r="A36" s="17" t="inlineStr">
        <is>
          <t>C</t>
        </is>
      </c>
      <c r="B36" s="19" t="n">
        <v>66</v>
      </c>
    </row>
    <row r="37">
      <c r="A37" s="10" t="inlineStr">
        <is>
          <t>B</t>
        </is>
      </c>
      <c r="B37" s="14" t="n">
        <v>60</v>
      </c>
    </row>
    <row r="38">
      <c r="A38" s="17" t="inlineStr">
        <is>
          <t>A</t>
        </is>
      </c>
      <c r="B38" s="19" t="n">
        <v>54</v>
      </c>
    </row>
  </sheetData>
  <mergeCells count="39">
    <mergeCell ref="A30:H30"/>
    <mergeCell ref="C6:D6"/>
    <mergeCell ref="F16:G16"/>
    <mergeCell ref="C5:D5"/>
    <mergeCell ref="E5:F5"/>
    <mergeCell ref="A11:H11"/>
    <mergeCell ref="A1:H1"/>
    <mergeCell ref="A6:B6"/>
    <mergeCell ref="F15:G15"/>
    <mergeCell ref="E10:F10"/>
    <mergeCell ref="G10:H10"/>
    <mergeCell ref="A14:C14"/>
    <mergeCell ref="A17:C17"/>
    <mergeCell ref="G6:H6"/>
    <mergeCell ref="E9:F9"/>
    <mergeCell ref="D17:E17"/>
    <mergeCell ref="F17:G17"/>
    <mergeCell ref="A27:H27"/>
    <mergeCell ref="A10:C10"/>
    <mergeCell ref="A18:H18"/>
    <mergeCell ref="D16:E16"/>
    <mergeCell ref="E6:F6"/>
    <mergeCell ref="A2:H2"/>
    <mergeCell ref="A5:B5"/>
    <mergeCell ref="G5:H5"/>
    <mergeCell ref="A9:C9"/>
    <mergeCell ref="A33:H33"/>
    <mergeCell ref="A15:C15"/>
    <mergeCell ref="A8:H8"/>
    <mergeCell ref="A4:H4"/>
    <mergeCell ref="D15:E15"/>
    <mergeCell ref="A20:H20"/>
    <mergeCell ref="A28:H28"/>
    <mergeCell ref="D14:E14"/>
    <mergeCell ref="A13:H13"/>
    <mergeCell ref="F14:G14"/>
    <mergeCell ref="G9:H9"/>
    <mergeCell ref="A31:H31"/>
    <mergeCell ref="A16:C1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5" customWidth="1" min="6" max="6"/>
    <col width="21" customWidth="1" min="7" max="7"/>
  </cols>
  <sheetData>
    <row r="1" ht="28" customHeight="1">
      <c r="A1" s="1" t="inlineStr">
        <is>
          <t>Matriz de Confronto</t>
        </is>
      </c>
    </row>
    <row r="2"/>
    <row r="3">
      <c r="A3" s="24" t="inlineStr">
        <is>
          <t>Categoria</t>
        </is>
      </c>
      <c r="B3" s="24" t="inlineStr">
        <is>
          <t>Valor · Janeiro</t>
        </is>
      </c>
      <c r="C3" s="24" t="inlineStr">
        <is>
          <t>Valor · Fevereiro</t>
        </is>
      </c>
      <c r="D3" s="24" t="inlineStr">
        <is>
          <t>Diferença</t>
        </is>
      </c>
      <c r="E3" s="24" t="inlineStr">
        <is>
          <t>Variação %</t>
        </is>
      </c>
      <c r="F3" s="24" t="inlineStr">
        <is>
          <t>Situação estrutural</t>
        </is>
      </c>
      <c r="G3" s="24" t="inlineStr">
        <is>
          <t>Leitura qualitativa</t>
        </is>
      </c>
    </row>
    <row r="4">
      <c r="A4" t="inlineStr">
        <is>
          <t>A</t>
        </is>
      </c>
      <c r="B4" s="25" t="n">
        <v>504</v>
      </c>
      <c r="C4" s="25" t="n">
        <v>558</v>
      </c>
      <c r="D4" s="25" t="n">
        <v>54</v>
      </c>
      <c r="E4" s="26" t="n">
        <v>0.1071428571428571</v>
      </c>
      <c r="F4" s="27" t="inlineStr">
        <is>
          <t>Presente nos dois lados</t>
        </is>
      </c>
      <c r="G4" s="28" t="inlineStr">
        <is>
          <t>Melhorou</t>
        </is>
      </c>
    </row>
    <row r="5">
      <c r="A5" t="inlineStr">
        <is>
          <t>B</t>
        </is>
      </c>
      <c r="B5" s="25" t="n">
        <v>555</v>
      </c>
      <c r="C5" s="25" t="n">
        <v>615</v>
      </c>
      <c r="D5" s="25" t="n">
        <v>60</v>
      </c>
      <c r="E5" s="26" t="n">
        <v>0.1081081081081081</v>
      </c>
      <c r="F5" s="27" t="inlineStr">
        <is>
          <t>Presente nos dois lados</t>
        </is>
      </c>
      <c r="G5" s="28" t="inlineStr">
        <is>
          <t>Melhorou</t>
        </is>
      </c>
    </row>
    <row r="6">
      <c r="A6" t="inlineStr">
        <is>
          <t>C</t>
        </is>
      </c>
      <c r="B6" s="25" t="n">
        <v>606</v>
      </c>
      <c r="C6" s="25" t="n">
        <v>672</v>
      </c>
      <c r="D6" s="25" t="n">
        <v>66</v>
      </c>
      <c r="E6" s="26" t="n">
        <v>0.1089108910891089</v>
      </c>
      <c r="F6" s="27" t="inlineStr">
        <is>
          <t>Presente nos dois lados</t>
        </is>
      </c>
      <c r="G6" s="28" t="inlineStr">
        <is>
          <t>Melhorou</t>
        </is>
      </c>
    </row>
    <row r="7">
      <c r="A7" t="inlineStr">
        <is>
          <t>D</t>
        </is>
      </c>
      <c r="B7" s="25" t="n">
        <v>657</v>
      </c>
      <c r="C7" s="25" t="n">
        <v>729</v>
      </c>
      <c r="D7" s="25" t="n">
        <v>72</v>
      </c>
      <c r="E7" s="26" t="n">
        <v>0.1095890410958904</v>
      </c>
      <c r="F7" s="27" t="inlineStr">
        <is>
          <t>Presente nos dois lados</t>
        </is>
      </c>
      <c r="G7" s="28" t="inlineStr">
        <is>
          <t>Melhorou</t>
        </is>
      </c>
    </row>
    <row r="8">
      <c r="B8" s="25">
        <f>SUBTOTAL(109,B4:B7)</f>
        <v/>
      </c>
      <c r="C8" s="25">
        <f>SUBTOTAL(109,C4:C7)</f>
        <v/>
      </c>
      <c r="D8" s="25">
        <f>SUBTOTAL(109,D4:D7)</f>
        <v/>
      </c>
      <c r="E8" s="26">
        <f>SUBTOTAL(101,E4:E7)</f>
        <v/>
      </c>
    </row>
  </sheetData>
  <mergeCells count="1">
    <mergeCell ref="A1:G1"/>
  </mergeCells>
  <conditionalFormatting sqref="D4:D7">
    <cfRule type="colorScale" priority="1">
      <colorScale>
        <cfvo type="min"/>
        <cfvo type="percentile" val="50"/>
        <cfvo type="max"/>
        <color rgb="00F4CCCC"/>
        <color rgb="00EDF3F9"/>
        <color rgb="00CFE2F3"/>
      </colorScale>
    </cfRule>
  </conditionalFormatting>
  <conditionalFormatting sqref="E4:E7">
    <cfRule type="colorScale" priority="2">
      <colorScale>
        <cfvo type="min"/>
        <cfvo type="percentile" val="50"/>
        <cfvo type="max"/>
        <color rgb="00F4CCCC"/>
        <color rgb="00EDF3F9"/>
        <color rgb="00CFE2F3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5" customWidth="1" min="6" max="6"/>
    <col width="21" customWidth="1" min="7" max="7"/>
    <col width="13" customWidth="1" min="8" max="8"/>
  </cols>
  <sheetData>
    <row r="1" ht="28" customHeight="1">
      <c r="A1" s="1" t="inlineStr">
        <is>
          <t>Base Analítica</t>
        </is>
      </c>
    </row>
    <row r="2"/>
    <row r="3">
      <c r="A3" s="24" t="inlineStr">
        <is>
          <t>Categoria</t>
        </is>
      </c>
      <c r="B3" s="24" t="inlineStr">
        <is>
          <t>Valor · Janeiro</t>
        </is>
      </c>
      <c r="C3" s="24" t="inlineStr">
        <is>
          <t>Valor · Fevereiro</t>
        </is>
      </c>
      <c r="D3" s="24" t="inlineStr">
        <is>
          <t>Diferença</t>
        </is>
      </c>
      <c r="E3" s="24" t="inlineStr">
        <is>
          <t>Variação %</t>
        </is>
      </c>
      <c r="F3" s="24" t="inlineStr">
        <is>
          <t>Situação estrutural</t>
        </is>
      </c>
      <c r="G3" s="24" t="inlineStr">
        <is>
          <t>Leitura qualitativa</t>
        </is>
      </c>
      <c r="H3" s="24" t="inlineStr">
        <is>
          <t>Observações</t>
        </is>
      </c>
    </row>
    <row r="4">
      <c r="A4" t="inlineStr">
        <is>
          <t>A</t>
        </is>
      </c>
      <c r="B4" s="25" t="n">
        <v>504</v>
      </c>
      <c r="C4" s="25" t="n">
        <v>558</v>
      </c>
      <c r="D4" s="25" t="n">
        <v>54</v>
      </c>
      <c r="E4" s="26" t="n">
        <v>0.1071428571428571</v>
      </c>
      <c r="F4" s="27" t="inlineStr">
        <is>
          <t>Presente nos dois lados</t>
        </is>
      </c>
      <c r="G4" s="28" t="inlineStr">
        <is>
          <t>Melhorou</t>
        </is>
      </c>
      <c r="H4" s="29" t="inlineStr">
        <is>
          <t>—</t>
        </is>
      </c>
    </row>
    <row r="5">
      <c r="A5" t="inlineStr">
        <is>
          <t>B</t>
        </is>
      </c>
      <c r="B5" s="25" t="n">
        <v>555</v>
      </c>
      <c r="C5" s="25" t="n">
        <v>615</v>
      </c>
      <c r="D5" s="25" t="n">
        <v>60</v>
      </c>
      <c r="E5" s="26" t="n">
        <v>0.1081081081081081</v>
      </c>
      <c r="F5" s="27" t="inlineStr">
        <is>
          <t>Presente nos dois lados</t>
        </is>
      </c>
      <c r="G5" s="28" t="inlineStr">
        <is>
          <t>Melhorou</t>
        </is>
      </c>
      <c r="H5" s="29" t="inlineStr">
        <is>
          <t>—</t>
        </is>
      </c>
    </row>
    <row r="6">
      <c r="A6" t="inlineStr">
        <is>
          <t>C</t>
        </is>
      </c>
      <c r="B6" s="25" t="n">
        <v>606</v>
      </c>
      <c r="C6" s="25" t="n">
        <v>672</v>
      </c>
      <c r="D6" s="25" t="n">
        <v>66</v>
      </c>
      <c r="E6" s="26" t="n">
        <v>0.1089108910891089</v>
      </c>
      <c r="F6" s="27" t="inlineStr">
        <is>
          <t>Presente nos dois lados</t>
        </is>
      </c>
      <c r="G6" s="28" t="inlineStr">
        <is>
          <t>Melhorou</t>
        </is>
      </c>
      <c r="H6" s="29" t="inlineStr">
        <is>
          <t>—</t>
        </is>
      </c>
    </row>
    <row r="7">
      <c r="A7" t="inlineStr">
        <is>
          <t>D</t>
        </is>
      </c>
      <c r="B7" s="25" t="n">
        <v>657</v>
      </c>
      <c r="C7" s="25" t="n">
        <v>729</v>
      </c>
      <c r="D7" s="25" t="n">
        <v>72</v>
      </c>
      <c r="E7" s="26" t="n">
        <v>0.1095890410958904</v>
      </c>
      <c r="F7" s="27" t="inlineStr">
        <is>
          <t>Presente nos dois lados</t>
        </is>
      </c>
      <c r="G7" s="28" t="inlineStr">
        <is>
          <t>Melhorou</t>
        </is>
      </c>
      <c r="H7" s="29" t="inlineStr">
        <is>
          <t>—</t>
        </is>
      </c>
    </row>
    <row r="8">
      <c r="B8" s="25">
        <f>SUBTOTAL(109,B4:B7)</f>
        <v/>
      </c>
      <c r="C8" s="25">
        <f>SUBTOTAL(109,C4:C7)</f>
        <v/>
      </c>
      <c r="D8" s="25">
        <f>SUBTOTAL(109,D4:D7)</f>
        <v/>
      </c>
      <c r="E8" s="26">
        <f>SUBTOTAL(101,E4:E7)</f>
        <v/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8" customWidth="1" min="2" max="2"/>
    <col width="22" customWidth="1" min="3" max="3"/>
    <col width="22" customWidth="1" min="4" max="4"/>
  </cols>
  <sheetData>
    <row r="1" ht="28" customHeight="1">
      <c r="A1" s="1" t="inlineStr">
        <is>
          <t>Diagnóstico</t>
        </is>
      </c>
    </row>
    <row r="3" ht="22" customHeight="1">
      <c r="A3" s="3" t="inlineStr">
        <is>
          <t>Como a análise foi feita</t>
        </is>
      </c>
      <c r="B3" s="4" t="n"/>
      <c r="C3" s="4" t="n"/>
      <c r="D3" s="4" t="n"/>
    </row>
    <row r="4">
      <c r="A4" s="30" t="inlineStr">
        <is>
          <t>Arquivo</t>
        </is>
      </c>
      <c r="B4" s="31" t="inlineStr">
        <is>
          <t>—</t>
        </is>
      </c>
      <c r="C4" s="11" t="n"/>
      <c r="D4" s="11" t="n"/>
    </row>
    <row r="5">
      <c r="A5" s="32" t="inlineStr">
        <is>
          <t>Aba consumida</t>
        </is>
      </c>
      <c r="B5" s="23" t="inlineStr">
        <is>
          <t>—</t>
        </is>
      </c>
      <c r="C5" s="18" t="n"/>
      <c r="D5" s="18" t="n"/>
    </row>
    <row r="6">
      <c r="A6" s="30" t="inlineStr">
        <is>
          <t>Modo da base</t>
        </is>
      </c>
      <c r="B6" s="31" t="inlineStr">
        <is>
          <t>Dois lados em colunas distintas</t>
        </is>
      </c>
      <c r="C6" s="11" t="n"/>
      <c r="D6" s="11" t="n"/>
    </row>
    <row r="7">
      <c r="A7" s="32" t="inlineStr">
        <is>
          <t>Agrupadores aplicados</t>
        </is>
      </c>
      <c r="B7" s="23" t="inlineStr">
        <is>
          <t>Categoria</t>
        </is>
      </c>
      <c r="C7" s="18" t="n"/>
      <c r="D7" s="18" t="n"/>
    </row>
    <row r="8">
      <c r="A8" s="30" t="inlineStr">
        <is>
          <t>Campo analisado</t>
        </is>
      </c>
      <c r="B8" s="31" t="inlineStr">
        <is>
          <t>Receita</t>
        </is>
      </c>
      <c r="C8" s="11" t="n"/>
      <c r="D8" s="11" t="n"/>
    </row>
    <row r="9">
      <c r="A9" s="32" t="inlineStr">
        <is>
          <t>Tipo de medida</t>
        </is>
      </c>
      <c r="B9" s="23" t="inlineStr">
        <is>
          <t>Valor somável</t>
        </is>
      </c>
      <c r="C9" s="18" t="n"/>
      <c r="D9" s="18" t="n"/>
    </row>
    <row r="10">
      <c r="A10" s="30" t="inlineStr">
        <is>
          <t>Coluna origem</t>
        </is>
      </c>
      <c r="B10" s="31" t="inlineStr">
        <is>
          <t>Janeiro</t>
        </is>
      </c>
      <c r="C10" s="11" t="n"/>
      <c r="D10" s="11" t="n"/>
    </row>
    <row r="11">
      <c r="A11" s="32" t="inlineStr">
        <is>
          <t>Coluna comparado</t>
        </is>
      </c>
      <c r="B11" s="23" t="inlineStr">
        <is>
          <t>Fevereiro</t>
        </is>
      </c>
      <c r="C11" s="18" t="n"/>
      <c r="D11" s="18" t="n"/>
    </row>
    <row r="12" ht="8" customHeight="1"/>
    <row r="13" ht="22" customHeight="1">
      <c r="A13" s="3" t="inlineStr">
        <is>
          <t>Ajustes automáticos do motor</t>
        </is>
      </c>
      <c r="B13" s="4" t="n"/>
      <c r="C13" s="4" t="n"/>
      <c r="D13" s="4" t="n"/>
    </row>
    <row r="14">
      <c r="A14" s="31" t="inlineStr">
        <is>
          <t>Nenhum ajuste estrutural foi necessário.</t>
        </is>
      </c>
      <c r="B14" s="11" t="n"/>
      <c r="C14" s="11" t="n"/>
      <c r="D14" s="11" t="n"/>
    </row>
    <row r="15" ht="8" customHeight="1"/>
    <row r="16" ht="22" customHeight="1">
      <c r="A16" s="3" t="inlineStr">
        <is>
          <t>Pontos de atenção</t>
        </is>
      </c>
      <c r="B16" s="4" t="n"/>
      <c r="C16" s="4" t="n"/>
      <c r="D16" s="4" t="n"/>
    </row>
    <row r="17">
      <c r="A17" s="31" t="inlineStr">
        <is>
          <t>Nenhum ponto de atenção identificado nesta análise.</t>
        </is>
      </c>
      <c r="B17" s="11" t="n"/>
      <c r="C17" s="11" t="n"/>
      <c r="D17" s="11" t="n"/>
    </row>
    <row r="18" ht="8" customHeight="1"/>
    <row r="19" ht="22" customHeight="1">
      <c r="A19" s="3" t="inlineStr">
        <is>
          <t>Decisões do usuário</t>
        </is>
      </c>
      <c r="B19" s="4" t="n"/>
      <c r="C19" s="4" t="n"/>
      <c r="D19" s="4" t="n"/>
    </row>
    <row r="20">
      <c r="A20" s="31" t="inlineStr">
        <is>
          <t>Análise executada com configurações padrão.</t>
        </is>
      </c>
      <c r="B20" s="11" t="n"/>
      <c r="C20" s="11" t="n"/>
      <c r="D20" s="11" t="n"/>
    </row>
    <row r="21" ht="8" customHeight="1"/>
    <row r="22" ht="22" customHeight="1">
      <c r="A22" s="3" t="inlineStr">
        <is>
          <t>Configurações avançadas aplicadas</t>
        </is>
      </c>
      <c r="B22" s="4" t="n"/>
      <c r="C22" s="4" t="n"/>
      <c r="D22" s="4" t="n"/>
    </row>
    <row r="23">
      <c r="A23" s="30" t="inlineStr">
        <is>
          <t>Paleta selecionada</t>
        </is>
      </c>
      <c r="B23" s="31" t="inlineStr">
        <is>
          <t>Azul executivo</t>
        </is>
      </c>
      <c r="C23" s="11" t="n"/>
      <c r="D23" s="11" t="n"/>
    </row>
    <row r="24">
      <c r="A24" s="32" t="inlineStr">
        <is>
          <t>Limite de estabilidade</t>
        </is>
      </c>
      <c r="B24" s="23" t="inlineStr">
        <is>
          <t>1,00%</t>
        </is>
      </c>
      <c r="C24" s="18" t="n"/>
      <c r="D24" s="18" t="n"/>
    </row>
    <row r="25">
      <c r="A25" s="30" t="inlineStr">
        <is>
          <t>Limite de nulos massivos</t>
        </is>
      </c>
      <c r="B25" s="31" t="inlineStr">
        <is>
          <t>20,00%</t>
        </is>
      </c>
      <c r="C25" s="11" t="n"/>
      <c r="D25" s="11" t="n"/>
    </row>
    <row r="26">
      <c r="A26" s="32" t="inlineStr">
        <is>
          <t>Limite de valores na coluna de comparação</t>
        </is>
      </c>
      <c r="B26" s="23" t="inlineStr">
        <is>
          <t>50</t>
        </is>
      </c>
      <c r="C26" s="18" t="n"/>
      <c r="D26" s="18" t="n"/>
    </row>
    <row r="27">
      <c r="A27" s="30" t="inlineStr">
        <is>
          <t>Limite de variação extrema</t>
        </is>
      </c>
      <c r="B27" s="31" t="inlineStr">
        <is>
          <t>10,00%</t>
        </is>
      </c>
      <c r="C27" s="11" t="n"/>
      <c r="D27" s="11" t="n"/>
    </row>
    <row r="28" ht="8" customHeight="1"/>
    <row r="29" ht="22" customHeight="1">
      <c r="A29" s="3" t="inlineStr">
        <is>
          <t>Qualidade estrutural da análise</t>
        </is>
      </c>
      <c r="B29" s="4" t="n"/>
      <c r="C29" s="4" t="n"/>
      <c r="D29" s="4" t="n"/>
    </row>
    <row r="30">
      <c r="A30" s="30" t="inlineStr">
        <is>
          <t>Total de avisos</t>
        </is>
      </c>
      <c r="B30" s="31" t="inlineStr">
        <is>
          <t>0</t>
        </is>
      </c>
      <c r="C30" s="11" t="n"/>
      <c r="D30" s="11" t="n"/>
    </row>
    <row r="31">
      <c r="A31" s="32" t="inlineStr">
        <is>
          <t>Bloqueios escapados</t>
        </is>
      </c>
      <c r="B31" s="23" t="inlineStr">
        <is>
          <t>Não</t>
        </is>
      </c>
      <c r="C31" s="18" t="n"/>
      <c r="D31" s="18" t="n"/>
    </row>
    <row r="32" ht="8" customHeight="1"/>
  </sheetData>
  <mergeCells count="25">
    <mergeCell ref="B11:D11"/>
    <mergeCell ref="A17:D17"/>
    <mergeCell ref="A22:D22"/>
    <mergeCell ref="B23:D23"/>
    <mergeCell ref="B8:D8"/>
    <mergeCell ref="A20:D20"/>
    <mergeCell ref="A29:D29"/>
    <mergeCell ref="A19:D19"/>
    <mergeCell ref="A13:D13"/>
    <mergeCell ref="B10:D10"/>
    <mergeCell ref="B9:D9"/>
    <mergeCell ref="B30:D30"/>
    <mergeCell ref="B6:D6"/>
    <mergeCell ref="B24:D24"/>
    <mergeCell ref="A1:D1"/>
    <mergeCell ref="B5:D5"/>
    <mergeCell ref="B4:D4"/>
    <mergeCell ref="B26:D26"/>
    <mergeCell ref="A16:D16"/>
    <mergeCell ref="B7:D7"/>
    <mergeCell ref="B25:D25"/>
    <mergeCell ref="B31:D31"/>
    <mergeCell ref="A3:D3"/>
    <mergeCell ref="B27:D27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2026-04-26T20:31:12Z</dcterms:created>
  <dcterms:modified xsi:type="dcterms:W3CDTF">2026-04-26T20:31:13Z</dcterms:modified>
</cp:coreProperties>
</file>