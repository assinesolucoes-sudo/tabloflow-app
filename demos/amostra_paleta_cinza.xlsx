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Base Analítica" sheetId="2" state="visible" r:id="rId2"/>
    <sheet name="Coração Visual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(R$ #,##0.00);-"/>
    <numFmt numFmtId="165" formatCode="0.00%;[Red]-0.00%;-"/>
  </numFmts>
  <fonts count="6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b val="1"/>
      <color rgb="00595959"/>
      <sz val="12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DEDED"/>
        <bgColor rgb="00EDEDED"/>
      </patternFill>
    </fill>
    <fill>
      <patternFill patternType="solid">
        <fgColor rgb="00595959"/>
        <b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base_analitica_cinza" displayName="t_base_analitica_cinza" ref="A1:F14" headerRowCount="1" totalsRowCount="1" totalsRowShown="1">
  <autoFilter ref="A1:F13"/>
  <tableColumns count="6">
    <tableColumn id="1" name="Agrupadores"/>
    <tableColumn id="2" name="Orçado (R$)" totalsRowFunction="sum"/>
    <tableColumn id="3" name="Realizado (R$)" totalsRowFunction="sum"/>
    <tableColumn id="4" name="Diferença (R$)" totalsRowFunction="sum"/>
    <tableColumn id="5" name="Variação" totalsRowFunction="average"/>
    <tableColumn id="6" name="Classificação estrutur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4" customWidth="1" min="3" max="3"/>
    <col width="24" customWidth="1" min="4" max="4"/>
  </cols>
  <sheetData>
    <row r="1" ht="28" customHeight="1">
      <c r="A1" s="1" t="inlineStr">
        <is>
          <t>Resumo Executivo · Análise Comparativa entre Referências · 23/04/2026 · 14:32</t>
        </is>
      </c>
    </row>
    <row r="3">
      <c r="A3" s="2" t="inlineStr">
        <is>
          <t>Como foi analisado</t>
        </is>
      </c>
    </row>
    <row r="4">
      <c r="A4" s="3" t="inlineStr">
        <is>
          <t>Análise executada em 23/04/2026 · 14:32, no modo Envio simples (um arquivo).</t>
        </is>
      </c>
    </row>
    <row r="5">
      <c r="A5" s="3" t="inlineStr">
        <is>
          <t>Agrupadores aplicados: Mes · Loja.</t>
        </is>
      </c>
    </row>
    <row r="6">
      <c r="A6" s="3" t="inlineStr">
        <is>
          <t>Medida principal: Vendas.</t>
        </is>
      </c>
    </row>
    <row r="8">
      <c r="A8" s="2" t="inlineStr">
        <is>
          <t>Números principais</t>
        </is>
      </c>
    </row>
    <row r="9">
      <c r="A9" s="4" t="inlineStr">
        <is>
          <t>Total na origem</t>
        </is>
      </c>
      <c r="B9" s="5" t="inlineStr">
        <is>
          <t>R$ 31.997,83</t>
        </is>
      </c>
    </row>
    <row r="10">
      <c r="A10" s="6" t="inlineStr">
        <is>
          <t>Total no comparado</t>
        </is>
      </c>
      <c r="B10" s="7" t="inlineStr">
        <is>
          <t>R$ 34.582,01</t>
        </is>
      </c>
    </row>
    <row r="11">
      <c r="A11" s="4" t="inlineStr">
        <is>
          <t>Diferença total</t>
        </is>
      </c>
      <c r="B11" s="5" t="inlineStr">
        <is>
          <t>R$ 2.584,18</t>
        </is>
      </c>
    </row>
    <row r="12">
      <c r="A12" s="6" t="inlineStr">
        <is>
          <t>Variação total</t>
        </is>
      </c>
      <c r="B12" s="7" t="inlineStr">
        <is>
          <t>8,08%</t>
        </is>
      </c>
    </row>
    <row r="13">
      <c r="A13" s="4" t="inlineStr">
        <is>
          <t>Total de casos analisados</t>
        </is>
      </c>
      <c r="B13" s="5" t="inlineStr">
        <is>
          <t>R$ 12,00</t>
        </is>
      </c>
    </row>
    <row r="15">
      <c r="A15" s="2" t="inlineStr">
        <is>
          <t>Como os casos se distribuem</t>
        </is>
      </c>
    </row>
    <row r="16">
      <c r="A16" s="8" t="inlineStr">
        <is>
          <t>Categoria</t>
        </is>
      </c>
      <c r="B16" s="8" t="inlineStr">
        <is>
          <t>Casos</t>
        </is>
      </c>
      <c r="C16" s="8" t="inlineStr">
        <is>
          <t>Participação</t>
        </is>
      </c>
    </row>
    <row r="17">
      <c r="A17" s="4" t="inlineStr">
        <is>
          <t>Presente nos dois lados</t>
        </is>
      </c>
      <c r="B17" s="5" t="inlineStr">
        <is>
          <t>11</t>
        </is>
      </c>
      <c r="C17" s="5" t="inlineStr">
        <is>
          <t>91,67%</t>
        </is>
      </c>
    </row>
    <row r="18">
      <c r="A18" s="6" t="inlineStr">
        <is>
          <t>Ausente na origem</t>
        </is>
      </c>
      <c r="B18" s="7" t="inlineStr">
        <is>
          <t>1</t>
        </is>
      </c>
      <c r="C18" s="7" t="inlineStr">
        <is>
          <t>8,33%</t>
        </is>
      </c>
    </row>
    <row r="19">
      <c r="A19" s="4" t="inlineStr">
        <is>
          <t>Ausente no comparado</t>
        </is>
      </c>
      <c r="B19" s="5" t="inlineStr">
        <is>
          <t>0</t>
        </is>
      </c>
      <c r="C19" s="5" t="inlineStr">
        <is>
          <t>-</t>
        </is>
      </c>
    </row>
    <row r="20">
      <c r="A20" s="6" t="inlineStr">
        <is>
          <t>Sem valor na origem</t>
        </is>
      </c>
      <c r="B20" s="7" t="inlineStr">
        <is>
          <t>0</t>
        </is>
      </c>
      <c r="C20" s="7" t="inlineStr">
        <is>
          <t>-</t>
        </is>
      </c>
    </row>
    <row r="21">
      <c r="A21" s="4" t="inlineStr">
        <is>
          <t>Sem valor no comparado</t>
        </is>
      </c>
      <c r="B21" s="5" t="inlineStr">
        <is>
          <t>0</t>
        </is>
      </c>
      <c r="C21" s="5" t="inlineStr">
        <is>
          <t>-</t>
        </is>
      </c>
    </row>
    <row r="22">
      <c r="A22" s="6" t="inlineStr">
        <is>
          <t>Sem valor nos dois lados</t>
        </is>
      </c>
      <c r="B22" s="7" t="inlineStr">
        <is>
          <t>0</t>
        </is>
      </c>
      <c r="C22" s="7" t="inlineStr">
        <is>
          <t>-</t>
        </is>
      </c>
    </row>
    <row r="24">
      <c r="A24" s="2" t="inlineStr">
        <is>
          <t>O que chama atenção</t>
        </is>
      </c>
    </row>
    <row r="25">
      <c r="A25" s="9" t="inlineStr">
        <is>
          <t>Variações em destaque</t>
        </is>
      </c>
    </row>
    <row r="26">
      <c r="A26" s="4" t="inlineStr">
        <is>
          <t>2025-02|Loja Sul</t>
        </is>
      </c>
      <c r="B26" s="5" t="inlineStr">
        <is>
          <t>Variação: -14,77%</t>
        </is>
      </c>
      <c r="C26" s="5" t="inlineStr">
        <is>
          <t>Diferença: R$ 3.530,50</t>
        </is>
      </c>
    </row>
    <row r="27">
      <c r="A27" s="6" t="inlineStr">
        <is>
          <t>2025-03|Loja Norte</t>
        </is>
      </c>
      <c r="B27" s="7" t="inlineStr">
        <is>
          <t>Variação: 14,66%</t>
        </is>
      </c>
      <c r="C27" s="7" t="inlineStr">
        <is>
          <t>Diferença: R$ 137,12</t>
        </is>
      </c>
    </row>
    <row r="28">
      <c r="A28" s="4" t="inlineStr">
        <is>
          <t>2025-01|Loja Centro</t>
        </is>
      </c>
      <c r="B28" s="5" t="inlineStr">
        <is>
          <t>Variação: -14,12%</t>
        </is>
      </c>
      <c r="C28" s="5" t="inlineStr">
        <is>
          <t>Diferença: (R$ 477,05)</t>
        </is>
      </c>
    </row>
    <row r="29">
      <c r="A29" s="6" t="inlineStr">
        <is>
          <t>2025-01|Loja Sul</t>
        </is>
      </c>
      <c r="B29" s="7" t="inlineStr">
        <is>
          <t>Variação: -11,96%</t>
        </is>
      </c>
      <c r="C29" s="7" t="inlineStr">
        <is>
          <t>Diferença: (R$ 539,84)</t>
        </is>
      </c>
    </row>
    <row r="30">
      <c r="A30" s="4" t="inlineStr">
        <is>
          <t>2025-01|Loja Norte</t>
        </is>
      </c>
      <c r="B30" s="5" t="inlineStr">
        <is>
          <t>Variação: 10,78%</t>
        </is>
      </c>
      <c r="C30" s="5" t="inlineStr">
        <is>
          <t>Diferença: R$ 162,13</t>
        </is>
      </c>
    </row>
    <row r="33">
      <c r="A33" s="2" t="inlineStr">
        <is>
          <t>Leitura qualitativa</t>
        </is>
      </c>
    </row>
    <row r="34">
      <c r="A34" s="3" t="inlineStr">
        <is>
          <t>Classificação qualitativa ativa: Significativa.</t>
        </is>
      </c>
    </row>
    <row r="35">
      <c r="A35" s="9" t="inlineStr">
        <is>
          <t>Limites aplicados:</t>
        </is>
      </c>
    </row>
    <row r="36">
      <c r="A36" s="4" t="inlineStr">
        <is>
          <t>Limite de estabilidade (variações menores são "estável")</t>
        </is>
      </c>
      <c r="B36" s="5" t="inlineStr">
        <is>
          <t>5,00%</t>
        </is>
      </c>
    </row>
    <row r="37">
      <c r="A37" s="6" t="inlineStr">
        <is>
          <t>Limite de variação extrema (variações maiores são destacadas)</t>
        </is>
      </c>
      <c r="B37" s="7" t="inlineStr">
        <is>
          <t>20,00%</t>
        </is>
      </c>
    </row>
    <row r="39">
      <c r="A39" s="2" t="inlineStr">
        <is>
          <t>Qualidade do dado</t>
        </is>
      </c>
    </row>
    <row r="40">
      <c r="A40" s="4" t="inlineStr">
        <is>
          <t>Total de avisos emitidos</t>
        </is>
      </c>
      <c r="B40" s="5" t="inlineStr">
        <is>
          <t>3</t>
        </is>
      </c>
    </row>
    <row r="41">
      <c r="A41" s="6" t="inlineStr">
        <is>
          <t>Ajustes automáticos aplicados</t>
        </is>
      </c>
      <c r="B41" s="7" t="inlineStr">
        <is>
          <t>1</t>
        </is>
      </c>
    </row>
    <row r="42">
      <c r="A42" s="4" t="inlineStr">
        <is>
          <t>Há bloqueios escapados pelo usuário?</t>
        </is>
      </c>
      <c r="B42" s="5" t="inlineStr">
        <is>
          <t>Não</t>
        </is>
      </c>
    </row>
    <row r="43">
      <c r="A43" s="6" t="inlineStr">
        <is>
          <t>Avisos · Informativos</t>
        </is>
      </c>
      <c r="B43" s="7" t="inlineStr">
        <is>
          <t>1</t>
        </is>
      </c>
    </row>
    <row r="44">
      <c r="A44" s="4" t="inlineStr">
        <is>
          <t>Avisos · Ajustes leves aplicados</t>
        </is>
      </c>
      <c r="B44" s="5" t="inlineStr">
        <is>
          <t>2</t>
        </is>
      </c>
    </row>
  </sheetData>
  <mergeCells count="13">
    <mergeCell ref="A1:D1"/>
    <mergeCell ref="A5:D5"/>
    <mergeCell ref="A8:D8"/>
    <mergeCell ref="A6:D6"/>
    <mergeCell ref="A34:D34"/>
    <mergeCell ref="A35:D35"/>
    <mergeCell ref="A4:D4"/>
    <mergeCell ref="A3:D3"/>
    <mergeCell ref="A39:D39"/>
    <mergeCell ref="A15:D15"/>
    <mergeCell ref="A25:D25"/>
    <mergeCell ref="A24:D24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24" customWidth="1" min="6" max="6"/>
  </cols>
  <sheetData>
    <row r="1">
      <c r="A1" t="inlineStr">
        <is>
          <t>Agrupadores</t>
        </is>
      </c>
      <c r="B1" t="inlineStr">
        <is>
          <t>Orçado (R$)</t>
        </is>
      </c>
      <c r="C1" t="inlineStr">
        <is>
          <t>Realizado (R$)</t>
        </is>
      </c>
      <c r="D1" t="inlineStr">
        <is>
          <t>Diferença (R$)</t>
        </is>
      </c>
      <c r="E1" t="inlineStr">
        <is>
          <t>Variação</t>
        </is>
      </c>
      <c r="F1" t="inlineStr">
        <is>
          <t>Classificação estrutural</t>
        </is>
      </c>
    </row>
    <row r="2">
      <c r="A2" t="inlineStr">
        <is>
          <t>2025-01|Loja Centro</t>
        </is>
      </c>
      <c r="B2" s="10" t="n">
        <v>3377.42</v>
      </c>
      <c r="C2" s="10" t="n">
        <v>2900.37</v>
      </c>
      <c r="D2" s="10" t="n">
        <v>-477.05</v>
      </c>
      <c r="E2" s="11" t="n">
        <v>-0.1412</v>
      </c>
      <c r="F2" t="inlineStr">
        <is>
          <t>Presente nos dois lados</t>
        </is>
      </c>
    </row>
    <row r="3">
      <c r="A3" t="inlineStr">
        <is>
          <t>2025-01|Loja Norte</t>
        </is>
      </c>
      <c r="B3" s="10" t="n">
        <v>1504.45</v>
      </c>
      <c r="C3" s="10" t="n">
        <v>1666.58</v>
      </c>
      <c r="D3" s="10" t="n">
        <v>162.13</v>
      </c>
      <c r="E3" s="11" t="n">
        <v>0.1078</v>
      </c>
      <c r="F3" t="inlineStr">
        <is>
          <t>Presente nos dois lados</t>
        </is>
      </c>
    </row>
    <row r="4">
      <c r="A4" t="inlineStr">
        <is>
          <t>2025-01|Loja Sul</t>
        </is>
      </c>
      <c r="B4" s="10" t="n">
        <v>4514.81</v>
      </c>
      <c r="C4" s="10" t="n">
        <v>3974.97</v>
      </c>
      <c r="D4" s="10" t="n">
        <v>-539.84</v>
      </c>
      <c r="E4" s="11" t="n">
        <v>-0.1196</v>
      </c>
      <c r="F4" t="inlineStr">
        <is>
          <t>Presente nos dois lados</t>
        </is>
      </c>
    </row>
    <row r="5">
      <c r="A5" t="inlineStr">
        <is>
          <t>2025-01|Loja Leste</t>
        </is>
      </c>
      <c r="B5" s="10" t="n">
        <v>634.09</v>
      </c>
      <c r="C5" s="10" t="n">
        <v>587.5</v>
      </c>
      <c r="D5" s="10" t="n">
        <v>-46.59</v>
      </c>
      <c r="E5" s="11" t="n">
        <v>-0.0735</v>
      </c>
      <c r="F5" t="inlineStr">
        <is>
          <t>Presente nos dois lados</t>
        </is>
      </c>
    </row>
    <row r="6">
      <c r="A6" t="inlineStr">
        <is>
          <t>2025-02|Loja Centro</t>
        </is>
      </c>
      <c r="B6" s="10" t="n">
        <v>619.41</v>
      </c>
      <c r="C6" s="10" t="n">
        <v>569.61</v>
      </c>
      <c r="D6" s="10" t="n">
        <v>-49.8</v>
      </c>
      <c r="E6" s="11" t="n">
        <v>-0.0804</v>
      </c>
      <c r="F6" t="inlineStr">
        <is>
          <t>Presente nos dois lados</t>
        </is>
      </c>
    </row>
    <row r="7">
      <c r="A7" t="inlineStr">
        <is>
          <t>2025-02|Loja Norte</t>
        </is>
      </c>
      <c r="B7" s="10" t="n">
        <v>2952.24</v>
      </c>
      <c r="C7" s="10" t="n">
        <v>2737.18</v>
      </c>
      <c r="D7" s="10" t="n">
        <v>-215.06</v>
      </c>
      <c r="E7" s="11" t="n">
        <v>-0.0728</v>
      </c>
      <c r="F7" t="inlineStr">
        <is>
          <t>Presente nos dois lados</t>
        </is>
      </c>
    </row>
    <row r="8">
      <c r="A8" t="inlineStr">
        <is>
          <t>2025-02|Loja Sul</t>
        </is>
      </c>
      <c r="B8" s="10" t="n">
        <v>0</v>
      </c>
      <c r="C8" s="10" t="n">
        <v>3530.5</v>
      </c>
      <c r="D8" s="10" t="n">
        <v>3530.5</v>
      </c>
      <c r="E8" s="11" t="n">
        <v>-0.1477</v>
      </c>
      <c r="F8" t="inlineStr">
        <is>
          <t>Ausente na origem</t>
        </is>
      </c>
    </row>
    <row r="9">
      <c r="A9" t="inlineStr">
        <is>
          <t>2025-02|Loja Leste</t>
        </is>
      </c>
      <c r="B9" s="10" t="n">
        <v>3641.63</v>
      </c>
      <c r="C9" s="10" t="n">
        <v>3529.06</v>
      </c>
      <c r="D9" s="10" t="n">
        <v>-112.57</v>
      </c>
      <c r="E9" s="11" t="n">
        <v>-0.0309</v>
      </c>
      <c r="F9" t="inlineStr">
        <is>
          <t>Presente nos dois lados</t>
        </is>
      </c>
    </row>
    <row r="10">
      <c r="A10" t="inlineStr">
        <is>
          <t>2025-03|Loja Centro</t>
        </is>
      </c>
      <c r="B10" s="10" t="n">
        <v>4807.46</v>
      </c>
      <c r="C10" s="10" t="n">
        <v>4652.7</v>
      </c>
      <c r="D10" s="10" t="n">
        <v>-154.76</v>
      </c>
      <c r="E10" s="11" t="n">
        <v>-0.0322</v>
      </c>
      <c r="F10" t="inlineStr">
        <is>
          <t>Presente nos dois lados</t>
        </is>
      </c>
    </row>
    <row r="11">
      <c r="A11" t="inlineStr">
        <is>
          <t>2025-03|Loja Norte</t>
        </is>
      </c>
      <c r="B11" s="10" t="n">
        <v>935.22</v>
      </c>
      <c r="C11" s="10" t="n">
        <v>1072.34</v>
      </c>
      <c r="D11" s="10" t="n">
        <v>137.12</v>
      </c>
      <c r="E11" s="11" t="n">
        <v>0.1466</v>
      </c>
      <c r="F11" t="inlineStr">
        <is>
          <t>Presente nos dois lados</t>
        </is>
      </c>
    </row>
    <row r="12">
      <c r="A12" t="inlineStr">
        <is>
          <t>2025-03|Loja Sul</t>
        </is>
      </c>
      <c r="B12" s="10" t="n">
        <v>4132.08</v>
      </c>
      <c r="C12" s="10" t="n">
        <v>4567.63</v>
      </c>
      <c r="D12" s="10" t="n">
        <v>435.55</v>
      </c>
      <c r="E12" s="11" t="n">
        <v>0.1054</v>
      </c>
      <c r="F12" t="inlineStr">
        <is>
          <t>Presente nos dois lados</t>
        </is>
      </c>
    </row>
    <row r="13">
      <c r="A13" t="inlineStr">
        <is>
          <t>2025-03|Loja Leste</t>
        </is>
      </c>
      <c r="B13" s="10" t="n">
        <v>4879.02</v>
      </c>
      <c r="C13" s="10" t="n">
        <v>4793.57</v>
      </c>
      <c r="D13" s="10" t="n">
        <v>-85.45</v>
      </c>
      <c r="E13" s="11" t="n">
        <v>-0.0175</v>
      </c>
      <c r="F13" t="inlineStr">
        <is>
          <t>Presente nos dois lados</t>
        </is>
      </c>
    </row>
    <row r="14">
      <c r="B14" s="10">
        <f>SUBTOTAL(109,B2:B13)</f>
        <v/>
      </c>
      <c r="C14" s="10">
        <f>SUBTOTAL(109,C2:C13)</f>
        <v/>
      </c>
      <c r="D14" s="10">
        <f>SUBTOTAL(109,D2:D13)</f>
        <v/>
      </c>
      <c r="E14" s="11">
        <f>SUBTOTAL(101,E2:E13)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28" customHeight="1">
      <c r="B2" s="12" t="inlineStr">
        <is>
          <t>Coração Visual</t>
        </is>
      </c>
    </row>
    <row r="3">
      <c r="B3" s="13" t="inlineStr"/>
    </row>
    <row r="5" ht="80" customHeight="1">
      <c r="B5" s="14" t="inlineStr">
        <is>
          <t>O Coração Visual apresenta o gráfico central desta análise · o ponto focal que o tomador de decisão vê primeiro. Esta aba será detalhada na próxima versão do produto.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28" customHeight="1">
      <c r="B2" s="12" t="inlineStr">
        <is>
          <t>Diagnóstico</t>
        </is>
      </c>
    </row>
    <row r="3">
      <c r="B3" s="13" t="inlineStr"/>
    </row>
    <row r="5" ht="80" customHeight="1">
      <c r="B5" s="14" t="inlineStr">
        <is>
          <t>O Diagnóstico apresenta a leitura narrativa detalhada da análise · sinais estruturais, ajustes aplicados e recomendações. Esta aba será detalhada na próxima versão do produto.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2026-04-23T21:59:52Z</dcterms:created>
  <dcterms:modified xsi:type="dcterms:W3CDTF">2026-04-23T21:59:52Z</dcterms:modified>
</cp:coreProperties>
</file>